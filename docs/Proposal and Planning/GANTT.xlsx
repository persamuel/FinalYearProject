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filterPrivacy="1" codeName="ThisWorkbook"/>
  <xr:revisionPtr revIDLastSave="0" documentId="13_ncr:1_{CDF548C4-C134-4FBD-8ADA-4A5E44AB4B84}" xr6:coauthVersionLast="41" xr6:coauthVersionMax="43" xr10:uidLastSave="{00000000-0000-0000-0000-000000000000}"/>
  <bookViews>
    <workbookView xWindow="-120" yWindow="-120" windowWidth="29040" windowHeight="15840" xr2:uid="{00000000-000D-0000-FFFF-FFFF00000000}"/>
  </bookViews>
  <sheets>
    <sheet name="ProjectSchedule" sheetId="11" r:id="rId1"/>
    <sheet name="About" sheetId="12" r:id="rId2"/>
  </sheets>
  <definedNames>
    <definedName name="Display_Week">ProjectSchedule!$D$4</definedName>
    <definedName name="_xlnm.Print_Titles" localSheetId="0">ProjectSchedule!$4:$6</definedName>
    <definedName name="Project_Start">ProjectSchedule!$D$3</definedName>
    <definedName name="task_end" localSheetId="0">ProjectSchedule!$E1</definedName>
    <definedName name="task_progress" localSheetId="0">ProjectSchedule!$C1</definedName>
    <definedName name="task_start" localSheetId="0">ProjectSchedule!$D1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12" i="11" l="1"/>
  <c r="E10" i="11"/>
  <c r="E12" i="11" l="1"/>
  <c r="D13" i="11" s="1"/>
  <c r="E13" i="11" s="1"/>
  <c r="G7" i="11"/>
  <c r="D9" i="11" l="1"/>
  <c r="G17" i="11" l="1"/>
  <c r="H5" i="11"/>
  <c r="G28" i="11"/>
  <c r="G27" i="11"/>
  <c r="G26" i="11"/>
  <c r="G25" i="11"/>
  <c r="G24" i="11"/>
  <c r="G23" i="11"/>
  <c r="G21" i="11"/>
  <c r="G16" i="11"/>
  <c r="G15" i="11"/>
  <c r="G11" i="11"/>
  <c r="G8" i="11"/>
  <c r="G9" i="11" l="1"/>
  <c r="H6" i="11"/>
  <c r="G22" i="11" l="1"/>
  <c r="G20" i="11"/>
  <c r="G10" i="11"/>
  <c r="G18" i="11"/>
  <c r="D14" i="11"/>
  <c r="E14" i="11" s="1"/>
  <c r="G12" i="11"/>
  <c r="I5" i="11"/>
  <c r="J5" i="11" s="1"/>
  <c r="K5" i="11" s="1"/>
  <c r="L5" i="11" s="1"/>
  <c r="M5" i="11" s="1"/>
  <c r="N5" i="11" s="1"/>
  <c r="O5" i="11" s="1"/>
  <c r="H4" i="11"/>
  <c r="G19" i="11" l="1"/>
  <c r="G13" i="11"/>
  <c r="O4" i="11"/>
  <c r="P5" i="11"/>
  <c r="Q5" i="11" s="1"/>
  <c r="R5" i="11" s="1"/>
  <c r="S5" i="11" s="1"/>
  <c r="T5" i="11" s="1"/>
  <c r="U5" i="11" s="1"/>
  <c r="V5" i="11" s="1"/>
  <c r="I6" i="11"/>
  <c r="G14" i="11" l="1"/>
  <c r="V4" i="11"/>
  <c r="W5" i="11"/>
  <c r="X5" i="11" s="1"/>
  <c r="Y5" i="11" s="1"/>
  <c r="Z5" i="11" s="1"/>
  <c r="AA5" i="11" s="1"/>
  <c r="AB5" i="11" s="1"/>
  <c r="AC5" i="11" s="1"/>
  <c r="J6" i="11"/>
  <c r="AD5" i="11" l="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L5" i="11" s="1"/>
  <c r="BJ6" i="11"/>
  <c r="AE6" i="11"/>
  <c r="BL6" i="11" l="1"/>
  <c r="BM5" i="11"/>
  <c r="BL4" i="11"/>
  <c r="BK6" i="11"/>
  <c r="AF6" i="11"/>
  <c r="BN5" i="11" l="1"/>
  <c r="BM6" i="11"/>
  <c r="AG6" i="11"/>
  <c r="BO5" i="11" l="1"/>
  <c r="BN6" i="11"/>
  <c r="AH6" i="11"/>
  <c r="BP5" i="11" l="1"/>
  <c r="BO6" i="11"/>
  <c r="AI6" i="11"/>
  <c r="BQ5" i="11" l="1"/>
  <c r="BP6" i="11"/>
  <c r="AJ6" i="11"/>
  <c r="BQ6" i="11" l="1"/>
  <c r="BR5" i="11"/>
  <c r="AK6" i="11"/>
  <c r="BS5" i="11" l="1"/>
  <c r="BR6" i="11"/>
  <c r="AL6" i="11"/>
  <c r="BS6" i="11" l="1"/>
  <c r="BT5" i="11"/>
  <c r="BS4" i="11"/>
  <c r="AM6" i="11"/>
  <c r="BU5" i="11" l="1"/>
  <c r="BT6" i="11"/>
  <c r="AN6" i="11"/>
  <c r="BV5" i="11" l="1"/>
  <c r="BU6" i="11"/>
  <c r="AO6" i="11"/>
  <c r="BW5" i="11" l="1"/>
  <c r="BV6" i="11"/>
  <c r="AP6" i="11"/>
  <c r="BX5" i="11" l="1"/>
  <c r="BW6" i="11"/>
  <c r="AQ6" i="11"/>
  <c r="BX6" i="11" l="1"/>
  <c r="BY5" i="11"/>
  <c r="BY6" i="11" l="1"/>
  <c r="BZ5" i="11"/>
  <c r="BZ6" i="11" l="1"/>
  <c r="CA5" i="11"/>
  <c r="BZ4" i="11"/>
  <c r="CB5" i="11" l="1"/>
  <c r="CA6" i="11"/>
  <c r="CC5" i="11" l="1"/>
  <c r="CB6" i="11"/>
  <c r="CD5" i="11" l="1"/>
  <c r="CC6" i="11"/>
  <c r="CD6" i="11" l="1"/>
  <c r="CE5" i="11"/>
  <c r="CE6" i="11" l="1"/>
  <c r="CF5" i="11"/>
  <c r="CG5" i="11" l="1"/>
  <c r="CF6" i="11"/>
  <c r="CH5" i="11" l="1"/>
  <c r="CG6" i="11"/>
  <c r="CG4" i="11"/>
  <c r="CH6" i="11" l="1"/>
  <c r="CI5" i="11"/>
  <c r="CI6" i="11" l="1"/>
  <c r="CJ5" i="11"/>
  <c r="CK5" i="11" l="1"/>
  <c r="CJ6" i="11"/>
  <c r="CL5" i="11" l="1"/>
  <c r="CK6" i="11"/>
  <c r="CM5" i="11" l="1"/>
  <c r="CL6" i="11"/>
  <c r="CM6" i="11" l="1"/>
  <c r="CN5" i="11"/>
  <c r="CO5" i="11" l="1"/>
  <c r="CN4" i="11"/>
  <c r="CN6" i="11"/>
  <c r="CP5" i="11" l="1"/>
  <c r="CO6" i="11"/>
  <c r="CP6" i="11" l="1"/>
  <c r="CQ5" i="11"/>
  <c r="CQ6" i="11" l="1"/>
  <c r="CR5" i="11"/>
  <c r="CR6" i="11" l="1"/>
  <c r="CS5" i="11"/>
  <c r="CS6" i="11" l="1"/>
  <c r="CT5" i="11"/>
  <c r="CT6" i="11" l="1"/>
  <c r="CU5" i="11"/>
  <c r="CU4" i="11" l="1"/>
  <c r="CV5" i="11"/>
  <c r="CU6" i="11"/>
  <c r="CV6" i="11" l="1"/>
  <c r="CW5" i="11"/>
  <c r="CW6" i="11" l="1"/>
  <c r="CX5" i="11"/>
  <c r="CY5" i="11" l="1"/>
  <c r="CX6" i="11"/>
  <c r="CY6" i="11" l="1"/>
  <c r="CZ5" i="11"/>
  <c r="CZ6" i="11" l="1"/>
  <c r="DA5" i="11"/>
  <c r="DA6" i="11" l="1"/>
  <c r="DB5" i="11"/>
  <c r="DC5" i="11" l="1"/>
  <c r="DB6" i="11"/>
  <c r="DB4" i="11"/>
  <c r="DD5" i="11" l="1"/>
  <c r="DC6" i="11"/>
  <c r="DE5" i="11" l="1"/>
  <c r="DD6" i="11"/>
  <c r="DE6" i="11" l="1"/>
  <c r="DF5" i="11"/>
  <c r="DF6" i="11" l="1"/>
  <c r="DG5" i="11"/>
  <c r="DH5" i="11" l="1"/>
  <c r="DG6" i="11"/>
  <c r="DH6" i="11" l="1"/>
  <c r="DI5" i="11"/>
  <c r="DJ5" i="11" l="1"/>
  <c r="DI4" i="11"/>
  <c r="DI6" i="11"/>
  <c r="DK5" i="11" l="1"/>
  <c r="DJ6" i="11"/>
  <c r="DL5" i="11" l="1"/>
  <c r="DK6" i="11"/>
  <c r="DL6" i="11" l="1"/>
  <c r="DM5" i="11"/>
  <c r="DM6" i="11" l="1"/>
  <c r="DN5" i="11"/>
  <c r="DO5" i="11" l="1"/>
  <c r="DN6" i="11"/>
  <c r="DO6" i="11" l="1"/>
  <c r="DP5" i="11"/>
  <c r="DP4" i="11" l="1"/>
  <c r="DP6" i="11"/>
  <c r="DQ5" i="11"/>
  <c r="DR5" i="11" l="1"/>
  <c r="DQ6" i="11"/>
  <c r="DS5" i="11" l="1"/>
  <c r="DR6" i="11"/>
  <c r="DT5" i="11" l="1"/>
  <c r="DS6" i="11"/>
  <c r="DT6" i="11" l="1"/>
  <c r="DU5" i="11"/>
  <c r="DV5" i="11" l="1"/>
  <c r="DU6" i="11"/>
  <c r="DW5" i="11" l="1"/>
  <c r="DV6" i="11"/>
  <c r="DX5" i="11" l="1"/>
  <c r="DW4" i="11"/>
  <c r="DW6" i="11"/>
  <c r="DX6" i="11" l="1"/>
  <c r="DY5" i="11"/>
  <c r="DY6" i="11" l="1"/>
  <c r="DZ5" i="11"/>
  <c r="EA5" i="11" l="1"/>
  <c r="DZ6" i="11"/>
  <c r="EA6" i="11" l="1"/>
  <c r="EB5" i="11"/>
  <c r="EB6" i="11" l="1"/>
  <c r="EC5" i="11"/>
  <c r="EC6" i="11" l="1"/>
  <c r="ED5" i="11"/>
  <c r="EE5" i="11" l="1"/>
  <c r="ED6" i="11"/>
  <c r="ED4" i="11"/>
  <c r="EF5" i="11" l="1"/>
  <c r="EE6" i="11"/>
  <c r="EG5" i="11" l="1"/>
  <c r="EF6" i="11"/>
  <c r="EG6" i="11" l="1"/>
  <c r="EH5" i="11"/>
  <c r="EH6" i="11" l="1"/>
  <c r="EI5" i="11"/>
  <c r="EI6" i="11" l="1"/>
  <c r="EJ5" i="11"/>
  <c r="EK5" i="11" l="1"/>
  <c r="EJ6" i="11"/>
  <c r="EL5" i="11" l="1"/>
  <c r="EK6" i="11"/>
  <c r="EK4" i="11"/>
  <c r="EL6" i="11" l="1"/>
  <c r="EM5" i="11"/>
  <c r="EN5" i="11" l="1"/>
  <c r="EM6" i="11"/>
  <c r="EO5" i="11" l="1"/>
  <c r="EN6" i="11"/>
  <c r="EO6" i="11" l="1"/>
  <c r="EP5" i="11"/>
  <c r="EP6" i="11" l="1"/>
  <c r="EQ5" i="11"/>
  <c r="EQ6" i="11" l="1"/>
  <c r="ER5" i="11"/>
  <c r="ES5" i="11" l="1"/>
  <c r="ER4" i="11"/>
  <c r="ER6" i="11"/>
  <c r="ES6" i="11" l="1"/>
  <c r="ET5" i="11"/>
  <c r="EU5" i="11" l="1"/>
  <c r="ET6" i="11"/>
  <c r="EU6" i="11" l="1"/>
  <c r="EV5" i="11"/>
  <c r="EV6" i="11" l="1"/>
  <c r="EW5" i="11"/>
  <c r="EW6" i="11" l="1"/>
  <c r="EX5" i="11"/>
  <c r="EY5" i="11" l="1"/>
  <c r="EX6" i="11"/>
  <c r="EY6" i="11" l="1"/>
  <c r="EZ5" i="11"/>
  <c r="EY4" i="11"/>
  <c r="EZ6" i="11" l="1"/>
  <c r="FA5" i="11"/>
  <c r="FB5" i="11" l="1"/>
  <c r="FA6" i="11"/>
  <c r="FC5" i="11" l="1"/>
  <c r="FB6" i="11"/>
  <c r="FC6" i="11" l="1"/>
  <c r="FD5" i="11"/>
  <c r="FD6" i="11" l="1"/>
  <c r="FE5" i="11"/>
  <c r="FE6" i="11" l="1"/>
  <c r="FF5" i="11"/>
  <c r="FG5" i="11" l="1"/>
  <c r="FF4" i="11"/>
  <c r="FF6" i="11"/>
  <c r="FG6" i="11" l="1"/>
  <c r="FH5" i="11"/>
  <c r="FH6" i="11" l="1"/>
  <c r="FI5" i="11"/>
  <c r="FI6" i="11" l="1"/>
  <c r="FJ5" i="11"/>
  <c r="FJ6" i="11" l="1"/>
  <c r="FK5" i="11"/>
  <c r="FL5" i="11" l="1"/>
  <c r="FK6" i="11"/>
  <c r="FM5" i="11" l="1"/>
  <c r="FL6" i="11"/>
  <c r="FM6" i="11" l="1"/>
  <c r="FN5" i="11"/>
  <c r="FM4" i="11"/>
  <c r="FO5" i="11" l="1"/>
  <c r="FN6" i="11"/>
  <c r="FP5" i="11" l="1"/>
  <c r="FO6" i="11"/>
  <c r="FQ5" i="11" l="1"/>
  <c r="FP6" i="11"/>
  <c r="FR5" i="11" l="1"/>
  <c r="FQ6" i="11"/>
  <c r="FR6" i="11" l="1"/>
  <c r="FS5" i="11"/>
  <c r="FS6" i="11" l="1"/>
  <c r="FT5" i="11"/>
  <c r="FU5" i="11" l="1"/>
  <c r="FT6" i="11"/>
  <c r="FT4" i="11"/>
  <c r="FU6" i="11" l="1"/>
  <c r="FV5" i="11"/>
  <c r="FW5" i="11" l="1"/>
  <c r="FV6" i="11"/>
  <c r="FW6" i="11" l="1"/>
  <c r="FX5" i="11"/>
  <c r="FX6" i="11" l="1"/>
  <c r="FY5" i="11"/>
  <c r="FZ5" i="11" l="1"/>
  <c r="FY6" i="11"/>
  <c r="FZ6" i="11" l="1"/>
  <c r="GA5" i="11"/>
  <c r="GB5" i="11" l="1"/>
  <c r="GA4" i="11"/>
  <c r="GA6" i="11"/>
  <c r="GC5" i="11" l="1"/>
  <c r="GB6" i="11"/>
  <c r="GD5" i="11" l="1"/>
  <c r="GC6" i="11"/>
  <c r="GE5" i="11" l="1"/>
  <c r="GD6" i="11"/>
  <c r="GF5" i="11" l="1"/>
  <c r="GE6" i="11"/>
  <c r="GF6" i="11" l="1"/>
  <c r="GG5" i="11"/>
  <c r="GG6" i="11" l="1"/>
  <c r="GH5" i="11"/>
  <c r="GH4" i="11" l="1"/>
  <c r="GI5" i="11"/>
  <c r="GH6" i="11"/>
  <c r="GJ5" i="11" l="1"/>
  <c r="GI6" i="11"/>
  <c r="GK5" i="11" l="1"/>
  <c r="GJ6" i="11"/>
  <c r="GK6" i="11" l="1"/>
  <c r="GL5" i="11"/>
  <c r="GM5" i="11" l="1"/>
  <c r="GL6" i="11"/>
  <c r="GM6" i="11" l="1"/>
  <c r="GN5" i="11"/>
  <c r="GO5" i="11" l="1"/>
  <c r="GN6" i="11"/>
  <c r="GO4" i="11" l="1"/>
  <c r="GP5" i="11"/>
  <c r="GO6" i="11"/>
  <c r="GP6" i="11" l="1"/>
  <c r="GQ5" i="11"/>
  <c r="GQ6" i="11" l="1"/>
  <c r="GR5" i="11"/>
  <c r="GS5" i="11" l="1"/>
  <c r="GR6" i="11"/>
  <c r="GT5" i="11" l="1"/>
  <c r="GS6" i="11"/>
  <c r="GT6" i="11" l="1"/>
  <c r="GU5" i="11"/>
  <c r="GU6" i="11" s="1"/>
</calcChain>
</file>

<file path=xl/sharedStrings.xml><?xml version="1.0" encoding="utf-8"?>
<sst xmlns="http://schemas.openxmlformats.org/spreadsheetml/2006/main" count="57" uniqueCount="56">
  <si>
    <t>Create a project schedule in this worksheet.
Enter the title of this project in cell B1. 
Information about how to use this worksheet, including instructions for screen readers and the author of this workbook, is in the About worksheet.
Continue navigating down column A to hear further instructions.</t>
  </si>
  <si>
    <t>Enter the company name in cell B2.</t>
  </si>
  <si>
    <t>Enter the name of the project lead in cell B3. Enter the project start date in cell E3. The project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</si>
  <si>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automatically calculated. There are 8 weeks represented in this view from cell I4 to cell BF4.
You should not modify these cells.
The display week label is in cell C4.</t>
  </si>
  <si>
    <t>Cells I5 to BL5 contain the day number for the week represented in the cell block above each date cell and are automatically calculated.
You should not modify these cells.
Today’s date is outlined in red (hex #AD3815) from today’s date on row 5 throughout the entire date column to the end of the project schedule.</t>
  </si>
  <si>
    <t>This row contains headers for the project schedule that follows below them. 
Navigate from B6 to BL6 to hear the content. The first letter of each day of the week for the date above that heading starts in cell I6 and continues to cell BL6.
All project timeline graphing is automatically generated based on the start and end dates entered, using conditional formats.
Do not modify content in cells within columns after column I starting with cell I7.</t>
  </si>
  <si>
    <t xml:space="preserve">Do not delete this row. This row is hidden to preserve a formula that is used to highlight the current day within the project schedule. </t>
  </si>
  <si>
    <t>Cell B8 contains the phase 1 sample title. 
Enter a new title in cell B8.
Enter a name to assign the phase to, if this applies to your project, in cell C8.
Enter the progress for the entire phase, if this applies to your project, in cell D8.
Enter the start and end dates for the entire phase, if this applies to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</si>
  <si>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the progress of the task in cell D9. A progress bar appears in the cell and is shaded according to the number in the cell. For example, 50 per cent progress would shade half of the cell.
Enter the task start date in cell E9.
Enter the task end date in cell E9.
A status bar shaded for the dates entered appears in blocks from cell I9 to BL9. </t>
  </si>
  <si>
    <t>Rows 10 to 13 repeat the pattern from row 9. 
Repeat the instructions from cell A9 for all task rows in this worksheet. Overwrite any sample data.
A sample of another phase starts in cell A14. 
Continue entering tasks in cells A10 to A13 or go to cell A14 to learn more.</t>
  </si>
  <si>
    <t>The cell to the right contains the phase 2 sample title. 
You can create a new phase at any time within column B. This project schedule does not require phases. To remove the phase, simply delete the row.
To create a new phase block in this row, enter a new title in the cell to the right.
To continue adding tasks to the phase above, enter a new row above this one and fill in the task data according to cell A9’s instructions.
Update the phase details in the cell to the right based on cell A8’s instructions.
Continue navigating down column A cells to learn more.
If you haven’t added any new rows in this worksheet, you will find that two additional sample phase blocks have been created for you in cells B20 and B26. Otherwise, navigate through the column A cells to find the additional blocks. 
Repeat the instructions from cells A8 and A9 whenever you need to.</t>
  </si>
  <si>
    <t>Sample phase title block</t>
  </si>
  <si>
    <t>This is an empty row</t>
  </si>
  <si>
    <t>This row marks the end of the project schedule. DO NOT enter anything in this row. 
Insert new rows ABOVE this one to continue working on your project schedule.</t>
  </si>
  <si>
    <t>TASK</t>
  </si>
  <si>
    <t>Task 1</t>
  </si>
  <si>
    <t>Task 2</t>
  </si>
  <si>
    <t>Task 3</t>
  </si>
  <si>
    <t>Task 4</t>
  </si>
  <si>
    <t>Task 5</t>
  </si>
  <si>
    <t>Insert new rows ABOVE this one</t>
  </si>
  <si>
    <t>PROGRESS</t>
  </si>
  <si>
    <t>START</t>
  </si>
  <si>
    <t>END</t>
  </si>
  <si>
    <t>DAYS</t>
  </si>
  <si>
    <t>SIMPLE GANTT CHART by Vertex42.com</t>
  </si>
  <si>
    <t>https://www.vertex42.com/ExcelTemplates/simple-gantt-chart.html</t>
  </si>
  <si>
    <t>About this template</t>
  </si>
  <si>
    <t>This template provides a simple way to create a Gantt chart to help visualise and track your project. Simply enter your tasks and start and end dates – no formulas are required. The bars in the Gantt chart represent the duration of the tasks and are displayed using conditional formatting. Insert new tasks by inserting new rows.</t>
  </si>
  <si>
    <t>Guide for screen readers</t>
  </si>
  <si>
    <t>There are 2 worksheets in this workbook. 
ProjectSchedule
About
The instructions for each worksheet are in the A column starting in cell A1 of each worksheet. They are written with hidden text. Each step guides you to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</si>
  <si>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</si>
  <si>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workdays, create task dependencies, change the colours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</si>
  <si>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</si>
  <si>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</si>
  <si>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</si>
  <si>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</si>
  <si>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</si>
  <si>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amortisation.</t>
  </si>
  <si>
    <t>Businesses will find invoices, timesheets, inventory trackers, financial statements and project planning templates. Teachers and students will find resources such as timetables, mark books and registers. Organise your family life with meal planners, checklists and exercise logs. Each template is thoroughly researched, refined and improved over time through feedback from thousands of users.</t>
  </si>
  <si>
    <t>Final Year Project</t>
  </si>
  <si>
    <t>Peter Samuel</t>
  </si>
  <si>
    <t>Background Research</t>
  </si>
  <si>
    <t>Writing Proposal</t>
  </si>
  <si>
    <t>Designing Language Syntax</t>
  </si>
  <si>
    <t>Writing the Type Checker</t>
  </si>
  <si>
    <t>Compiler Work</t>
  </si>
  <si>
    <t>ROP Exploit Work</t>
  </si>
  <si>
    <t>Expansions and Overruns</t>
  </si>
  <si>
    <t>Investigation into Gadget Chain Needed</t>
  </si>
  <si>
    <t>Design of Code for ROPing</t>
  </si>
  <si>
    <t>Disabling ASLR on Virtual Instance</t>
  </si>
  <si>
    <t>Testing Exploit</t>
  </si>
  <si>
    <t>Writing Exploit</t>
  </si>
  <si>
    <t>Finishing Research</t>
  </si>
  <si>
    <t>Writing the Code Generator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</si>
</sst>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2" formatCode="_-&quot;£&quot;* #,##0_-;\-&quot;£&quot;* #,##0_-;_-&quot;£&quot;* &quot;-&quot;_-;_-@_-"/>
    <numFmt numFmtId="44" formatCode="_-&quot;£&quot;* #,##0.00_-;\-&quot;£&quot;* #,##0.00_-;_-&quot;£&quot;* &quot;-&quot;??_-;_-@_-"/>
    <numFmt numFmtId="164" formatCode="_(* #,##0_);_(* \(#,##0\);_(* &quot;-&quot;_);_(@_)"/>
    <numFmt numFmtId="165" formatCode="_(* #,##0.00_);_(* \(#,##0.00\);_(* &quot;-&quot;??_);_(@_)"/>
    <numFmt numFmtId="166" formatCode="m/d/yy;@"/>
    <numFmt numFmtId="167" formatCode="d/m/yy;@"/>
    <numFmt numFmtId="168" formatCode="ddd\,\ d/m/yyyy"/>
    <numFmt numFmtId="169" formatCode="d\ mmm\ yyyy"/>
    <numFmt numFmtId="170" formatCode="d"/>
    <numFmt numFmtId="171" formatCode="[$-F800]dddd\,\ mmmm\ dd\,\ yyyy"/>
  </numFmts>
  <fonts count="33"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2" fillId="0" borderId="0" applyNumberFormat="0" applyFill="0" applyBorder="0" applyAlignment="0" applyProtection="0">
      <alignment vertical="top"/>
      <protection locked="0"/>
    </xf>
    <xf numFmtId="9" fontId="7" fillId="0" borderId="0" applyFont="0" applyFill="0" applyBorder="0" applyAlignment="0" applyProtection="0"/>
    <xf numFmtId="0" fontId="20" fillId="0" borderId="0"/>
    <xf numFmtId="165"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8" fontId="7" fillId="0" borderId="3">
      <alignment horizontal="center" vertical="center"/>
    </xf>
    <xf numFmtId="166"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21" fillId="0" borderId="0" applyNumberFormat="0" applyFill="0" applyBorder="0" applyAlignment="0" applyProtection="0"/>
    <xf numFmtId="164"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0" fontId="22" fillId="0" borderId="0" applyNumberFormat="0" applyFill="0" applyBorder="0" applyAlignment="0" applyProtection="0"/>
    <xf numFmtId="0" fontId="23" fillId="14" borderId="0" applyNumberFormat="0" applyBorder="0" applyAlignment="0" applyProtection="0"/>
    <xf numFmtId="0" fontId="24" fillId="15" borderId="0" applyNumberFormat="0" applyBorder="0" applyAlignment="0" applyProtection="0"/>
    <xf numFmtId="0" fontId="25" fillId="16" borderId="0" applyNumberFormat="0" applyBorder="0" applyAlignment="0" applyProtection="0"/>
    <xf numFmtId="0" fontId="26" fillId="17" borderId="11" applyNumberFormat="0" applyAlignment="0" applyProtection="0"/>
    <xf numFmtId="0" fontId="27" fillId="18" borderId="12" applyNumberFormat="0" applyAlignment="0" applyProtection="0"/>
    <xf numFmtId="0" fontId="28" fillId="18" borderId="11" applyNumberFormat="0" applyAlignment="0" applyProtection="0"/>
    <xf numFmtId="0" fontId="29" fillId="0" borderId="13" applyNumberFormat="0" applyFill="0" applyAlignment="0" applyProtection="0"/>
    <xf numFmtId="0" fontId="30" fillId="19" borderId="14" applyNumberFormat="0" applyAlignment="0" applyProtection="0"/>
    <xf numFmtId="0" fontId="31" fillId="0" borderId="0" applyNumberFormat="0" applyFill="0" applyBorder="0" applyAlignment="0" applyProtection="0"/>
    <xf numFmtId="0" fontId="7" fillId="20" borderId="15" applyNumberFormat="0" applyFont="0" applyAlignment="0" applyProtection="0"/>
    <xf numFmtId="0" fontId="32" fillId="0" borderId="0" applyNumberFormat="0" applyFill="0" applyBorder="0" applyAlignment="0" applyProtection="0"/>
    <xf numFmtId="0" fontId="4" fillId="0" borderId="16" applyNumberFormat="0" applyFill="0" applyAlignment="0" applyProtection="0"/>
    <xf numFmtId="0" fontId="20"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20"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20"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20"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20"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0" borderId="0" applyNumberFormat="0" applyBorder="0" applyAlignment="0" applyProtection="0"/>
    <xf numFmtId="0" fontId="20" fillId="41"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4" borderId="0" applyNumberFormat="0" applyBorder="0" applyAlignment="0" applyProtection="0"/>
  </cellStyleXfs>
  <cellXfs count="77">
    <xf numFmtId="0" fontId="0" fillId="0" borderId="0" xfId="0"/>
    <xf numFmtId="0" fontId="1" fillId="0" borderId="0" xfId="0" applyFont="1"/>
    <xf numFmtId="0" fontId="0" fillId="0" borderId="0" xfId="0" applyAlignment="1">
      <alignment vertical="center"/>
    </xf>
    <xf numFmtId="0" fontId="1"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5" fillId="13" borderId="1" xfId="0" applyFont="1" applyFill="1" applyBorder="1" applyAlignment="1">
      <alignment horizontal="left" vertical="center" indent="1"/>
    </xf>
    <xf numFmtId="0" fontId="5" fillId="13" borderId="1" xfId="0" applyFont="1" applyFill="1" applyBorder="1" applyAlignment="1">
      <alignment horizontal="center" vertical="center" wrapText="1"/>
    </xf>
    <xf numFmtId="0" fontId="10" fillId="12" borderId="8" xfId="0" applyFont="1" applyFill="1" applyBorder="1" applyAlignment="1">
      <alignment horizontal="center" vertical="center" shrinkToFit="1"/>
    </xf>
    <xf numFmtId="0" fontId="12" fillId="0" borderId="0" xfId="0" applyFont="1"/>
    <xf numFmtId="0" fontId="3" fillId="0" borderId="2" xfId="0" applyFont="1" applyBorder="1" applyAlignment="1">
      <alignment horizontal="center" vertical="center"/>
    </xf>
    <xf numFmtId="0" fontId="4" fillId="8" borderId="2" xfId="0" applyFont="1" applyFill="1" applyBorder="1" applyAlignment="1">
      <alignment horizontal="left" vertical="center" indent="1"/>
    </xf>
    <xf numFmtId="0" fontId="4" fillId="9" borderId="2" xfId="0" applyFont="1" applyFill="1" applyBorder="1" applyAlignment="1">
      <alignment horizontal="left" vertical="center" indent="1"/>
    </xf>
    <xf numFmtId="0" fontId="4" fillId="6" borderId="2" xfId="0" applyFont="1" applyFill="1" applyBorder="1" applyAlignment="1">
      <alignment horizontal="left" vertical="center" indent="1"/>
    </xf>
    <xf numFmtId="0" fontId="4" fillId="5" borderId="2" xfId="0" applyFont="1" applyFill="1" applyBorder="1" applyAlignment="1">
      <alignment horizontal="left" vertical="center" indent="1"/>
    </xf>
    <xf numFmtId="0" fontId="6" fillId="2" borderId="2" xfId="0" applyFont="1" applyFill="1" applyBorder="1" applyAlignment="1">
      <alignment horizontal="left" vertical="center" indent="1"/>
    </xf>
    <xf numFmtId="0" fontId="3"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1" fillId="0" borderId="0" xfId="0" applyFont="1" applyAlignment="1">
      <alignment horizontal="center" vertical="center"/>
    </xf>
    <xf numFmtId="0" fontId="1" fillId="0" borderId="0" xfId="0" applyFont="1" applyAlignment="1">
      <alignment vertical="top"/>
    </xf>
    <xf numFmtId="0" fontId="14" fillId="0" borderId="0" xfId="0" applyFont="1" applyAlignment="1">
      <alignment horizontal="left" vertical="center"/>
    </xf>
    <xf numFmtId="0" fontId="15" fillId="0" borderId="0" xfId="0" applyFont="1" applyAlignment="1">
      <alignment horizontal="left" vertical="center"/>
    </xf>
    <xf numFmtId="0" fontId="17" fillId="0" borderId="0" xfId="0" applyFont="1"/>
    <xf numFmtId="0" fontId="19" fillId="0" borderId="0" xfId="0" applyFont="1" applyAlignment="1">
      <alignment vertical="center"/>
    </xf>
    <xf numFmtId="0" fontId="18" fillId="0" borderId="0" xfId="0" applyFont="1" applyAlignment="1">
      <alignment horizontal="left" vertical="top" wrapText="1" indent="1"/>
    </xf>
    <xf numFmtId="0" fontId="1" fillId="0" borderId="0" xfId="0" applyFont="1" applyAlignment="1">
      <alignment horizontal="left" vertical="top"/>
    </xf>
    <xf numFmtId="0" fontId="16" fillId="0" borderId="0" xfId="0" applyFont="1" applyAlignment="1">
      <alignment vertical="top"/>
    </xf>
    <xf numFmtId="0" fontId="20" fillId="0" borderId="0" xfId="3"/>
    <xf numFmtId="0" fontId="20" fillId="0" borderId="0" xfId="3" applyAlignment="1">
      <alignment wrapText="1"/>
    </xf>
    <xf numFmtId="0" fontId="20" fillId="0" borderId="0" xfId="0" applyFont="1" applyAlignment="1">
      <alignment horizontal="center"/>
    </xf>
    <xf numFmtId="0" fontId="13" fillId="0" borderId="0" xfId="1" applyFont="1" applyProtection="1">
      <alignment vertical="top"/>
    </xf>
    <xf numFmtId="0" fontId="11" fillId="0" borderId="0" xfId="5" applyAlignment="1">
      <alignment horizontal="left"/>
    </xf>
    <xf numFmtId="0" fontId="8" fillId="0" borderId="0" xfId="6"/>
    <xf numFmtId="0" fontId="8" fillId="0" borderId="0" xfId="7">
      <alignment vertical="top"/>
    </xf>
    <xf numFmtId="0" fontId="7" fillId="10" borderId="2" xfId="12" applyFill="1">
      <alignment horizontal="left" vertical="center" indent="2"/>
    </xf>
    <xf numFmtId="0" fontId="7" fillId="0" borderId="2" xfId="12">
      <alignment horizontal="left" vertical="center" indent="2"/>
    </xf>
    <xf numFmtId="0" fontId="0" fillId="0" borderId="0" xfId="0" applyAlignment="1">
      <alignment horizontal="left" vertical="top" wrapText="1" indent="1"/>
    </xf>
    <xf numFmtId="0" fontId="2" fillId="0" borderId="0" xfId="1" applyAlignment="1" applyProtection="1">
      <alignment horizontal="left" vertical="top" indent="1"/>
    </xf>
    <xf numFmtId="167" fontId="0" fillId="8" borderId="2" xfId="0" applyNumberFormat="1" applyFill="1" applyBorder="1" applyAlignment="1">
      <alignment horizontal="center" vertical="center"/>
    </xf>
    <xf numFmtId="167" fontId="3" fillId="8" borderId="2" xfId="0" applyNumberFormat="1" applyFont="1" applyFill="1" applyBorder="1" applyAlignment="1">
      <alignment horizontal="center" vertical="center"/>
    </xf>
    <xf numFmtId="167" fontId="7" fillId="3" borderId="2" xfId="10" applyNumberFormat="1" applyFill="1">
      <alignment horizontal="center" vertical="center"/>
    </xf>
    <xf numFmtId="167" fontId="0" fillId="9" borderId="2" xfId="0" applyNumberFormat="1" applyFill="1" applyBorder="1" applyAlignment="1">
      <alignment horizontal="center" vertical="center"/>
    </xf>
    <xf numFmtId="167" fontId="3" fillId="9" borderId="2" xfId="0" applyNumberFormat="1" applyFont="1" applyFill="1" applyBorder="1" applyAlignment="1">
      <alignment horizontal="center" vertical="center"/>
    </xf>
    <xf numFmtId="167" fontId="7" fillId="4" borderId="2" xfId="10" applyNumberFormat="1" applyFill="1">
      <alignment horizontal="center" vertical="center"/>
    </xf>
    <xf numFmtId="167" fontId="0" fillId="6" borderId="2" xfId="0" applyNumberFormat="1" applyFill="1" applyBorder="1" applyAlignment="1">
      <alignment horizontal="center" vertical="center"/>
    </xf>
    <xf numFmtId="167" fontId="3" fillId="6" borderId="2" xfId="0" applyNumberFormat="1" applyFont="1" applyFill="1" applyBorder="1" applyAlignment="1">
      <alignment horizontal="center" vertical="center"/>
    </xf>
    <xf numFmtId="167" fontId="7" fillId="11" borderId="2" xfId="10" applyNumberFormat="1" applyFill="1">
      <alignment horizontal="center" vertical="center"/>
    </xf>
    <xf numFmtId="167" fontId="0" fillId="5" borderId="2" xfId="0" applyNumberFormat="1" applyFill="1" applyBorder="1" applyAlignment="1">
      <alignment horizontal="center" vertical="center"/>
    </xf>
    <xf numFmtId="167" fontId="3" fillId="5" borderId="2" xfId="0" applyNumberFormat="1" applyFont="1" applyFill="1" applyBorder="1" applyAlignment="1">
      <alignment horizontal="center" vertical="center"/>
    </xf>
    <xf numFmtId="167" fontId="7" fillId="10" borderId="2" xfId="10" applyNumberFormat="1" applyFill="1">
      <alignment horizontal="center" vertical="center"/>
    </xf>
    <xf numFmtId="167" fontId="7" fillId="0" borderId="2" xfId="10" applyNumberFormat="1">
      <alignment horizontal="center" vertical="center"/>
    </xf>
    <xf numFmtId="167" fontId="0" fillId="2" borderId="2" xfId="0" applyNumberFormat="1" applyFill="1" applyBorder="1" applyAlignment="1">
      <alignment horizontal="center" vertical="center"/>
    </xf>
    <xf numFmtId="0" fontId="7" fillId="0" borderId="7" xfId="8" applyBorder="1">
      <alignment horizontal="right" indent="1"/>
    </xf>
    <xf numFmtId="170" fontId="9" fillId="7" borderId="6" xfId="0" applyNumberFormat="1" applyFont="1" applyFill="1" applyBorder="1" applyAlignment="1">
      <alignment horizontal="center" vertical="center"/>
    </xf>
    <xf numFmtId="170" fontId="9" fillId="7" borderId="0" xfId="0" applyNumberFormat="1" applyFont="1" applyFill="1" applyAlignment="1">
      <alignment horizontal="center" vertical="center"/>
    </xf>
    <xf numFmtId="170" fontId="9" fillId="7" borderId="7" xfId="0" applyNumberFormat="1" applyFont="1" applyFill="1" applyBorder="1" applyAlignment="1">
      <alignment horizontal="center" vertical="center"/>
    </xf>
    <xf numFmtId="9" fontId="3" fillId="8" borderId="2" xfId="2" applyNumberFormat="1" applyFont="1" applyFill="1" applyBorder="1" applyAlignment="1">
      <alignment horizontal="center" vertical="center"/>
    </xf>
    <xf numFmtId="9" fontId="3" fillId="3" borderId="2" xfId="2" applyNumberFormat="1" applyFont="1" applyFill="1" applyBorder="1" applyAlignment="1">
      <alignment horizontal="center" vertical="center"/>
    </xf>
    <xf numFmtId="9" fontId="3" fillId="9" borderId="2" xfId="2" applyNumberFormat="1" applyFont="1" applyFill="1" applyBorder="1" applyAlignment="1">
      <alignment horizontal="center" vertical="center"/>
    </xf>
    <xf numFmtId="9" fontId="3" fillId="4" borderId="2" xfId="2" applyNumberFormat="1" applyFont="1" applyFill="1" applyBorder="1" applyAlignment="1">
      <alignment horizontal="center" vertical="center"/>
    </xf>
    <xf numFmtId="9" fontId="3" fillId="6" borderId="2" xfId="2" applyNumberFormat="1" applyFont="1" applyFill="1" applyBorder="1" applyAlignment="1">
      <alignment horizontal="center" vertical="center"/>
    </xf>
    <xf numFmtId="9" fontId="3" fillId="11" borderId="2" xfId="2" applyNumberFormat="1" applyFont="1" applyFill="1" applyBorder="1" applyAlignment="1">
      <alignment horizontal="center" vertical="center"/>
    </xf>
    <xf numFmtId="9" fontId="3" fillId="5" borderId="2" xfId="2" applyNumberFormat="1" applyFont="1" applyFill="1" applyBorder="1" applyAlignment="1">
      <alignment horizontal="center" vertical="center"/>
    </xf>
    <xf numFmtId="9" fontId="3" fillId="10" borderId="2" xfId="2" applyNumberFormat="1" applyFont="1" applyFill="1" applyBorder="1" applyAlignment="1">
      <alignment horizontal="center" vertical="center"/>
    </xf>
    <xf numFmtId="9" fontId="3" fillId="0" borderId="2" xfId="2" applyNumberFormat="1" applyFont="1" applyBorder="1" applyAlignment="1">
      <alignment horizontal="center" vertical="center"/>
    </xf>
    <xf numFmtId="9" fontId="3" fillId="2" borderId="2" xfId="2" applyNumberFormat="1" applyFont="1" applyFill="1" applyBorder="1" applyAlignment="1">
      <alignment horizontal="center" vertical="center"/>
    </xf>
    <xf numFmtId="0" fontId="0" fillId="3" borderId="2" xfId="12" applyFont="1" applyFill="1">
      <alignment horizontal="left" vertical="center" indent="2"/>
    </xf>
    <xf numFmtId="0" fontId="0" fillId="4" borderId="2" xfId="12" applyFont="1" applyFill="1">
      <alignment horizontal="left" vertical="center" indent="2"/>
    </xf>
    <xf numFmtId="0" fontId="0" fillId="11" borderId="2" xfId="12" applyFont="1" applyFill="1">
      <alignment horizontal="left" vertical="center" indent="2"/>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0" fontId="0" fillId="0" borderId="10" xfId="0" applyBorder="1"/>
    <xf numFmtId="171" fontId="7" fillId="0" borderId="3" xfId="9" applyNumberFormat="1">
      <alignment horizontal="center" vertic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e" xfId="10" xr:uid="{00000000-0005-0000-0000-000001000000}"/>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00000000-0005-0000-0000-000006000000}"/>
    <cellStyle name="Neutral" xfId="20" builtinId="28" customBuiltin="1"/>
    <cellStyle name="Normal" xfId="0" builtinId="0" customBuiltin="1"/>
    <cellStyle name="Note" xfId="27" builtinId="10" customBuiltin="1"/>
    <cellStyle name="Output" xfId="22" builtinId="21" customBuiltin="1"/>
    <cellStyle name="Percent" xfId="2" builtinId="5" customBuiltin="1"/>
    <cellStyle name="Project Start" xfId="9" xr:uid="{00000000-0005-0000-0000-000009000000}"/>
    <cellStyle name="Task" xfId="12" xr:uid="{00000000-0005-0000-0000-00000A000000}"/>
    <cellStyle name="Title" xfId="5" builtinId="15" customBuiltin="1"/>
    <cellStyle name="Total" xfId="29" builtinId="25" customBuiltin="1"/>
    <cellStyle name="Warning Text" xfId="26" builtinId="11" customBuiltin="1"/>
    <cellStyle name="zHiddenText" xfId="3" xr:uid="{00000000-0005-0000-0000-00000C000000}"/>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U30"/>
  <sheetViews>
    <sheetView showGridLines="0" tabSelected="1" showRuler="0" zoomScaleNormal="100" zoomScalePageLayoutView="70" workbookViewId="0">
      <pane ySplit="6" topLeftCell="A7" activePane="bottomLeft" state="frozen"/>
      <selection pane="bottomLeft" activeCell="AB15" sqref="AB15"/>
    </sheetView>
  </sheetViews>
  <sheetFormatPr defaultRowHeight="30" customHeight="1" x14ac:dyDescent="0.25"/>
  <cols>
    <col min="1" max="1" width="2.7109375" style="30" customWidth="1"/>
    <col min="2" max="2" width="39.85546875" bestFit="1" customWidth="1"/>
    <col min="3" max="3" width="12.42578125" customWidth="1"/>
    <col min="4" max="4" width="10.42578125" style="4" customWidth="1"/>
    <col min="5" max="5" width="10.42578125" customWidth="1"/>
    <col min="6" max="6" width="2.7109375" customWidth="1"/>
    <col min="7" max="7" width="6.140625" hidden="1" customWidth="1"/>
    <col min="8" max="203" width="2.5703125" customWidth="1"/>
  </cols>
  <sheetData>
    <row r="1" spans="1:203" ht="30" customHeight="1" x14ac:dyDescent="0.45">
      <c r="A1" s="31" t="s">
        <v>0</v>
      </c>
      <c r="B1" s="34" t="s">
        <v>40</v>
      </c>
      <c r="C1" s="1"/>
      <c r="D1" s="3"/>
      <c r="E1" s="21"/>
      <c r="G1" s="1"/>
      <c r="H1" s="10"/>
    </row>
    <row r="2" spans="1:203" ht="30" customHeight="1" x14ac:dyDescent="0.3">
      <c r="A2" s="30" t="s">
        <v>1</v>
      </c>
      <c r="B2" s="35" t="s">
        <v>41</v>
      </c>
      <c r="H2" s="33"/>
    </row>
    <row r="3" spans="1:203" ht="30" customHeight="1" x14ac:dyDescent="0.25">
      <c r="A3" s="30" t="s">
        <v>2</v>
      </c>
      <c r="B3" s="36"/>
      <c r="C3" s="55"/>
      <c r="D3" s="76">
        <v>43738</v>
      </c>
      <c r="E3" s="76"/>
    </row>
    <row r="4" spans="1:203" ht="30" customHeight="1" x14ac:dyDescent="0.25">
      <c r="A4" s="31" t="s">
        <v>3</v>
      </c>
      <c r="C4" s="55"/>
      <c r="D4" s="6">
        <v>1</v>
      </c>
      <c r="H4" s="72">
        <f>H5</f>
        <v>43738</v>
      </c>
      <c r="I4" s="73"/>
      <c r="J4" s="73"/>
      <c r="K4" s="73"/>
      <c r="L4" s="73"/>
      <c r="M4" s="73"/>
      <c r="N4" s="74"/>
      <c r="O4" s="72">
        <f>O5</f>
        <v>43745</v>
      </c>
      <c r="P4" s="73"/>
      <c r="Q4" s="73"/>
      <c r="R4" s="73"/>
      <c r="S4" s="73"/>
      <c r="T4" s="73"/>
      <c r="U4" s="74"/>
      <c r="V4" s="72">
        <f>V5</f>
        <v>43752</v>
      </c>
      <c r="W4" s="73"/>
      <c r="X4" s="73"/>
      <c r="Y4" s="73"/>
      <c r="Z4" s="73"/>
      <c r="AA4" s="73"/>
      <c r="AB4" s="74"/>
      <c r="AC4" s="72">
        <f>AC5</f>
        <v>43759</v>
      </c>
      <c r="AD4" s="73"/>
      <c r="AE4" s="73"/>
      <c r="AF4" s="73"/>
      <c r="AG4" s="73"/>
      <c r="AH4" s="73"/>
      <c r="AI4" s="74"/>
      <c r="AJ4" s="72">
        <f>AJ5</f>
        <v>43766</v>
      </c>
      <c r="AK4" s="73"/>
      <c r="AL4" s="73"/>
      <c r="AM4" s="73"/>
      <c r="AN4" s="73"/>
      <c r="AO4" s="73"/>
      <c r="AP4" s="74"/>
      <c r="AQ4" s="72">
        <f>AQ5</f>
        <v>43773</v>
      </c>
      <c r="AR4" s="73"/>
      <c r="AS4" s="73"/>
      <c r="AT4" s="73"/>
      <c r="AU4" s="73"/>
      <c r="AV4" s="73"/>
      <c r="AW4" s="74"/>
      <c r="AX4" s="72">
        <f>AX5</f>
        <v>43780</v>
      </c>
      <c r="AY4" s="73"/>
      <c r="AZ4" s="73"/>
      <c r="BA4" s="73"/>
      <c r="BB4" s="73"/>
      <c r="BC4" s="73"/>
      <c r="BD4" s="74"/>
      <c r="BE4" s="72">
        <f>BE5</f>
        <v>43787</v>
      </c>
      <c r="BF4" s="73"/>
      <c r="BG4" s="73"/>
      <c r="BH4" s="73"/>
      <c r="BI4" s="73"/>
      <c r="BJ4" s="73"/>
      <c r="BK4" s="74"/>
      <c r="BL4" s="72">
        <f>BL5</f>
        <v>43794</v>
      </c>
      <c r="BM4" s="73"/>
      <c r="BN4" s="73"/>
      <c r="BO4" s="73"/>
      <c r="BP4" s="73"/>
      <c r="BQ4" s="73"/>
      <c r="BR4" s="74"/>
      <c r="BS4" s="72">
        <f>BS5</f>
        <v>43801</v>
      </c>
      <c r="BT4" s="73"/>
      <c r="BU4" s="73"/>
      <c r="BV4" s="73"/>
      <c r="BW4" s="73"/>
      <c r="BX4" s="73"/>
      <c r="BY4" s="74"/>
      <c r="BZ4" s="72">
        <f>BZ5</f>
        <v>43808</v>
      </c>
      <c r="CA4" s="73"/>
      <c r="CB4" s="73"/>
      <c r="CC4" s="73"/>
      <c r="CD4" s="73"/>
      <c r="CE4" s="73"/>
      <c r="CF4" s="74"/>
      <c r="CG4" s="72">
        <f>CG5</f>
        <v>43815</v>
      </c>
      <c r="CH4" s="73"/>
      <c r="CI4" s="73"/>
      <c r="CJ4" s="73"/>
      <c r="CK4" s="73"/>
      <c r="CL4" s="73"/>
      <c r="CM4" s="74"/>
      <c r="CN4" s="72">
        <f>CN5</f>
        <v>43822</v>
      </c>
      <c r="CO4" s="73"/>
      <c r="CP4" s="73"/>
      <c r="CQ4" s="73"/>
      <c r="CR4" s="73"/>
      <c r="CS4" s="73"/>
      <c r="CT4" s="74"/>
      <c r="CU4" s="72">
        <f>CU5</f>
        <v>43829</v>
      </c>
      <c r="CV4" s="73"/>
      <c r="CW4" s="73"/>
      <c r="CX4" s="73"/>
      <c r="CY4" s="73"/>
      <c r="CZ4" s="73"/>
      <c r="DA4" s="74"/>
      <c r="DB4" s="72">
        <f>DB5</f>
        <v>43836</v>
      </c>
      <c r="DC4" s="73"/>
      <c r="DD4" s="73"/>
      <c r="DE4" s="73"/>
      <c r="DF4" s="73"/>
      <c r="DG4" s="73"/>
      <c r="DH4" s="74"/>
      <c r="DI4" s="72">
        <f>DI5</f>
        <v>43843</v>
      </c>
      <c r="DJ4" s="73"/>
      <c r="DK4" s="73"/>
      <c r="DL4" s="73"/>
      <c r="DM4" s="73"/>
      <c r="DN4" s="73"/>
      <c r="DO4" s="74"/>
      <c r="DP4" s="72">
        <f>DP5</f>
        <v>43850</v>
      </c>
      <c r="DQ4" s="73"/>
      <c r="DR4" s="73"/>
      <c r="DS4" s="73"/>
      <c r="DT4" s="73"/>
      <c r="DU4" s="73"/>
      <c r="DV4" s="74"/>
      <c r="DW4" s="72">
        <f>DW5</f>
        <v>43857</v>
      </c>
      <c r="DX4" s="73"/>
      <c r="DY4" s="73"/>
      <c r="DZ4" s="73"/>
      <c r="EA4" s="73"/>
      <c r="EB4" s="73"/>
      <c r="EC4" s="74"/>
      <c r="ED4" s="72">
        <f>ED5</f>
        <v>43864</v>
      </c>
      <c r="EE4" s="73"/>
      <c r="EF4" s="73"/>
      <c r="EG4" s="73"/>
      <c r="EH4" s="73"/>
      <c r="EI4" s="73"/>
      <c r="EJ4" s="74"/>
      <c r="EK4" s="72">
        <f>EK5</f>
        <v>43871</v>
      </c>
      <c r="EL4" s="73"/>
      <c r="EM4" s="73"/>
      <c r="EN4" s="73"/>
      <c r="EO4" s="73"/>
      <c r="EP4" s="73"/>
      <c r="EQ4" s="74"/>
      <c r="ER4" s="72">
        <f>ER5</f>
        <v>43878</v>
      </c>
      <c r="ES4" s="73"/>
      <c r="ET4" s="73"/>
      <c r="EU4" s="73"/>
      <c r="EV4" s="73"/>
      <c r="EW4" s="73"/>
      <c r="EX4" s="74"/>
      <c r="EY4" s="72">
        <f>EY5</f>
        <v>43885</v>
      </c>
      <c r="EZ4" s="73"/>
      <c r="FA4" s="73"/>
      <c r="FB4" s="73"/>
      <c r="FC4" s="73"/>
      <c r="FD4" s="73"/>
      <c r="FE4" s="74"/>
      <c r="FF4" s="72">
        <f>FF5</f>
        <v>43892</v>
      </c>
      <c r="FG4" s="73"/>
      <c r="FH4" s="73"/>
      <c r="FI4" s="73"/>
      <c r="FJ4" s="73"/>
      <c r="FK4" s="73"/>
      <c r="FL4" s="74"/>
      <c r="FM4" s="72">
        <f>FM5</f>
        <v>43899</v>
      </c>
      <c r="FN4" s="73"/>
      <c r="FO4" s="73"/>
      <c r="FP4" s="73"/>
      <c r="FQ4" s="73"/>
      <c r="FR4" s="73"/>
      <c r="FS4" s="74"/>
      <c r="FT4" s="72">
        <f>FT5</f>
        <v>43906</v>
      </c>
      <c r="FU4" s="73"/>
      <c r="FV4" s="73"/>
      <c r="FW4" s="73"/>
      <c r="FX4" s="73"/>
      <c r="FY4" s="73"/>
      <c r="FZ4" s="74"/>
      <c r="GA4" s="72">
        <f>GA5</f>
        <v>43913</v>
      </c>
      <c r="GB4" s="73"/>
      <c r="GC4" s="73"/>
      <c r="GD4" s="73"/>
      <c r="GE4" s="73"/>
      <c r="GF4" s="73"/>
      <c r="GG4" s="74"/>
      <c r="GH4" s="72">
        <f>GH5</f>
        <v>43920</v>
      </c>
      <c r="GI4" s="73"/>
      <c r="GJ4" s="73"/>
      <c r="GK4" s="73"/>
      <c r="GL4" s="73"/>
      <c r="GM4" s="73"/>
      <c r="GN4" s="74"/>
      <c r="GO4" s="72">
        <f>GO5</f>
        <v>43927</v>
      </c>
      <c r="GP4" s="73"/>
      <c r="GQ4" s="73"/>
      <c r="GR4" s="73"/>
      <c r="GS4" s="73"/>
      <c r="GT4" s="73"/>
      <c r="GU4" s="74"/>
    </row>
    <row r="5" spans="1:203" ht="15" customHeight="1" x14ac:dyDescent="0.25">
      <c r="A5" s="31" t="s">
        <v>4</v>
      </c>
      <c r="B5" s="75"/>
      <c r="C5" s="75"/>
      <c r="D5" s="75"/>
      <c r="E5" s="75"/>
      <c r="F5" s="75"/>
      <c r="H5" s="56">
        <f>Project_Start-WEEKDAY(Project_Start,1)+2+7*(Display_Week-1)</f>
        <v>43738</v>
      </c>
      <c r="I5" s="57">
        <f>H5+1</f>
        <v>43739</v>
      </c>
      <c r="J5" s="57">
        <f t="shared" ref="J5:AW5" si="0">I5+1</f>
        <v>43740</v>
      </c>
      <c r="K5" s="57">
        <f t="shared" si="0"/>
        <v>43741</v>
      </c>
      <c r="L5" s="57">
        <f t="shared" si="0"/>
        <v>43742</v>
      </c>
      <c r="M5" s="57">
        <f t="shared" si="0"/>
        <v>43743</v>
      </c>
      <c r="N5" s="58">
        <f t="shared" si="0"/>
        <v>43744</v>
      </c>
      <c r="O5" s="56">
        <f>N5+1</f>
        <v>43745</v>
      </c>
      <c r="P5" s="57">
        <f>O5+1</f>
        <v>43746</v>
      </c>
      <c r="Q5" s="57">
        <f t="shared" si="0"/>
        <v>43747</v>
      </c>
      <c r="R5" s="57">
        <f t="shared" si="0"/>
        <v>43748</v>
      </c>
      <c r="S5" s="57">
        <f t="shared" si="0"/>
        <v>43749</v>
      </c>
      <c r="T5" s="57">
        <f t="shared" si="0"/>
        <v>43750</v>
      </c>
      <c r="U5" s="58">
        <f t="shared" si="0"/>
        <v>43751</v>
      </c>
      <c r="V5" s="56">
        <f>U5+1</f>
        <v>43752</v>
      </c>
      <c r="W5" s="57">
        <f>V5+1</f>
        <v>43753</v>
      </c>
      <c r="X5" s="57">
        <f t="shared" si="0"/>
        <v>43754</v>
      </c>
      <c r="Y5" s="57">
        <f t="shared" si="0"/>
        <v>43755</v>
      </c>
      <c r="Z5" s="57">
        <f t="shared" si="0"/>
        <v>43756</v>
      </c>
      <c r="AA5" s="57">
        <f t="shared" si="0"/>
        <v>43757</v>
      </c>
      <c r="AB5" s="58">
        <f t="shared" si="0"/>
        <v>43758</v>
      </c>
      <c r="AC5" s="56">
        <f>AB5+1</f>
        <v>43759</v>
      </c>
      <c r="AD5" s="57">
        <f>AC5+1</f>
        <v>43760</v>
      </c>
      <c r="AE5" s="57">
        <f t="shared" si="0"/>
        <v>43761</v>
      </c>
      <c r="AF5" s="57">
        <f t="shared" si="0"/>
        <v>43762</v>
      </c>
      <c r="AG5" s="57">
        <f t="shared" si="0"/>
        <v>43763</v>
      </c>
      <c r="AH5" s="57">
        <f t="shared" si="0"/>
        <v>43764</v>
      </c>
      <c r="AI5" s="58">
        <f t="shared" si="0"/>
        <v>43765</v>
      </c>
      <c r="AJ5" s="56">
        <f>AI5+1</f>
        <v>43766</v>
      </c>
      <c r="AK5" s="57">
        <f>AJ5+1</f>
        <v>43767</v>
      </c>
      <c r="AL5" s="57">
        <f t="shared" si="0"/>
        <v>43768</v>
      </c>
      <c r="AM5" s="57">
        <f t="shared" si="0"/>
        <v>43769</v>
      </c>
      <c r="AN5" s="57">
        <f t="shared" si="0"/>
        <v>43770</v>
      </c>
      <c r="AO5" s="57">
        <f t="shared" si="0"/>
        <v>43771</v>
      </c>
      <c r="AP5" s="58">
        <f t="shared" si="0"/>
        <v>43772</v>
      </c>
      <c r="AQ5" s="56">
        <f>AP5+1</f>
        <v>43773</v>
      </c>
      <c r="AR5" s="57">
        <f>AQ5+1</f>
        <v>43774</v>
      </c>
      <c r="AS5" s="57">
        <f t="shared" si="0"/>
        <v>43775</v>
      </c>
      <c r="AT5" s="57">
        <f t="shared" si="0"/>
        <v>43776</v>
      </c>
      <c r="AU5" s="57">
        <f t="shared" si="0"/>
        <v>43777</v>
      </c>
      <c r="AV5" s="57">
        <f t="shared" si="0"/>
        <v>43778</v>
      </c>
      <c r="AW5" s="58">
        <f t="shared" si="0"/>
        <v>43779</v>
      </c>
      <c r="AX5" s="56">
        <f>AW5+1</f>
        <v>43780</v>
      </c>
      <c r="AY5" s="57">
        <f>AX5+1</f>
        <v>43781</v>
      </c>
      <c r="AZ5" s="57">
        <f t="shared" ref="AZ5:BD5" si="1">AY5+1</f>
        <v>43782</v>
      </c>
      <c r="BA5" s="57">
        <f t="shared" si="1"/>
        <v>43783</v>
      </c>
      <c r="BB5" s="57">
        <f t="shared" si="1"/>
        <v>43784</v>
      </c>
      <c r="BC5" s="57">
        <f t="shared" si="1"/>
        <v>43785</v>
      </c>
      <c r="BD5" s="58">
        <f t="shared" si="1"/>
        <v>43786</v>
      </c>
      <c r="BE5" s="56">
        <f>BD5+1</f>
        <v>43787</v>
      </c>
      <c r="BF5" s="57">
        <f>BE5+1</f>
        <v>43788</v>
      </c>
      <c r="BG5" s="57">
        <f t="shared" ref="BG5:BK5" si="2">BF5+1</f>
        <v>43789</v>
      </c>
      <c r="BH5" s="57">
        <f t="shared" si="2"/>
        <v>43790</v>
      </c>
      <c r="BI5" s="57">
        <f t="shared" si="2"/>
        <v>43791</v>
      </c>
      <c r="BJ5" s="57">
        <f t="shared" si="2"/>
        <v>43792</v>
      </c>
      <c r="BK5" s="58">
        <f t="shared" si="2"/>
        <v>43793</v>
      </c>
      <c r="BL5" s="56">
        <f>BK5+1</f>
        <v>43794</v>
      </c>
      <c r="BM5" s="57">
        <f>BL5+1</f>
        <v>43795</v>
      </c>
      <c r="BN5" s="57">
        <f t="shared" ref="BN5" si="3">BM5+1</f>
        <v>43796</v>
      </c>
      <c r="BO5" s="57">
        <f t="shared" ref="BO5" si="4">BN5+1</f>
        <v>43797</v>
      </c>
      <c r="BP5" s="57">
        <f t="shared" ref="BP5" si="5">BO5+1</f>
        <v>43798</v>
      </c>
      <c r="BQ5" s="57">
        <f t="shared" ref="BQ5" si="6">BP5+1</f>
        <v>43799</v>
      </c>
      <c r="BR5" s="58">
        <f t="shared" ref="BR5" si="7">BQ5+1</f>
        <v>43800</v>
      </c>
      <c r="BS5" s="56">
        <f>BR5+1</f>
        <v>43801</v>
      </c>
      <c r="BT5" s="57">
        <f>BS5+1</f>
        <v>43802</v>
      </c>
      <c r="BU5" s="57">
        <f t="shared" ref="BU5" si="8">BT5+1</f>
        <v>43803</v>
      </c>
      <c r="BV5" s="57">
        <f t="shared" ref="BV5" si="9">BU5+1</f>
        <v>43804</v>
      </c>
      <c r="BW5" s="57">
        <f t="shared" ref="BW5" si="10">BV5+1</f>
        <v>43805</v>
      </c>
      <c r="BX5" s="57">
        <f t="shared" ref="BX5" si="11">BW5+1</f>
        <v>43806</v>
      </c>
      <c r="BY5" s="58">
        <f t="shared" ref="BY5" si="12">BX5+1</f>
        <v>43807</v>
      </c>
      <c r="BZ5" s="56">
        <f>BY5+1</f>
        <v>43808</v>
      </c>
      <c r="CA5" s="57">
        <f>BZ5+1</f>
        <v>43809</v>
      </c>
      <c r="CB5" s="57">
        <f t="shared" ref="CB5" si="13">CA5+1</f>
        <v>43810</v>
      </c>
      <c r="CC5" s="57">
        <f t="shared" ref="CC5" si="14">CB5+1</f>
        <v>43811</v>
      </c>
      <c r="CD5" s="57">
        <f t="shared" ref="CD5" si="15">CC5+1</f>
        <v>43812</v>
      </c>
      <c r="CE5" s="57">
        <f t="shared" ref="CE5" si="16">CD5+1</f>
        <v>43813</v>
      </c>
      <c r="CF5" s="58">
        <f t="shared" ref="CF5" si="17">CE5+1</f>
        <v>43814</v>
      </c>
      <c r="CG5" s="56">
        <f>CF5+1</f>
        <v>43815</v>
      </c>
      <c r="CH5" s="57">
        <f>CG5+1</f>
        <v>43816</v>
      </c>
      <c r="CI5" s="57">
        <f t="shared" ref="CI5" si="18">CH5+1</f>
        <v>43817</v>
      </c>
      <c r="CJ5" s="57">
        <f t="shared" ref="CJ5" si="19">CI5+1</f>
        <v>43818</v>
      </c>
      <c r="CK5" s="57">
        <f t="shared" ref="CK5" si="20">CJ5+1</f>
        <v>43819</v>
      </c>
      <c r="CL5" s="57">
        <f t="shared" ref="CL5" si="21">CK5+1</f>
        <v>43820</v>
      </c>
      <c r="CM5" s="58">
        <f t="shared" ref="CM5" si="22">CL5+1</f>
        <v>43821</v>
      </c>
      <c r="CN5" s="56">
        <f>CM5+1</f>
        <v>43822</v>
      </c>
      <c r="CO5" s="57">
        <f>CN5+1</f>
        <v>43823</v>
      </c>
      <c r="CP5" s="57">
        <f t="shared" ref="CP5" si="23">CO5+1</f>
        <v>43824</v>
      </c>
      <c r="CQ5" s="57">
        <f t="shared" ref="CQ5" si="24">CP5+1</f>
        <v>43825</v>
      </c>
      <c r="CR5" s="57">
        <f t="shared" ref="CR5" si="25">CQ5+1</f>
        <v>43826</v>
      </c>
      <c r="CS5" s="57">
        <f t="shared" ref="CS5" si="26">CR5+1</f>
        <v>43827</v>
      </c>
      <c r="CT5" s="58">
        <f t="shared" ref="CT5" si="27">CS5+1</f>
        <v>43828</v>
      </c>
      <c r="CU5" s="56">
        <f>CT5+1</f>
        <v>43829</v>
      </c>
      <c r="CV5" s="57">
        <f>CU5+1</f>
        <v>43830</v>
      </c>
      <c r="CW5" s="57">
        <f t="shared" ref="CW5" si="28">CV5+1</f>
        <v>43831</v>
      </c>
      <c r="CX5" s="57">
        <f t="shared" ref="CX5" si="29">CW5+1</f>
        <v>43832</v>
      </c>
      <c r="CY5" s="57">
        <f t="shared" ref="CY5" si="30">CX5+1</f>
        <v>43833</v>
      </c>
      <c r="CZ5" s="57">
        <f t="shared" ref="CZ5" si="31">CY5+1</f>
        <v>43834</v>
      </c>
      <c r="DA5" s="58">
        <f t="shared" ref="DA5" si="32">CZ5+1</f>
        <v>43835</v>
      </c>
      <c r="DB5" s="56">
        <f>DA5+1</f>
        <v>43836</v>
      </c>
      <c r="DC5" s="57">
        <f>DB5+1</f>
        <v>43837</v>
      </c>
      <c r="DD5" s="57">
        <f t="shared" ref="DD5" si="33">DC5+1</f>
        <v>43838</v>
      </c>
      <c r="DE5" s="57">
        <f t="shared" ref="DE5" si="34">DD5+1</f>
        <v>43839</v>
      </c>
      <c r="DF5" s="57">
        <f t="shared" ref="DF5" si="35">DE5+1</f>
        <v>43840</v>
      </c>
      <c r="DG5" s="57">
        <f t="shared" ref="DG5" si="36">DF5+1</f>
        <v>43841</v>
      </c>
      <c r="DH5" s="58">
        <f t="shared" ref="DH5" si="37">DG5+1</f>
        <v>43842</v>
      </c>
      <c r="DI5" s="56">
        <f>DH5+1</f>
        <v>43843</v>
      </c>
      <c r="DJ5" s="57">
        <f>DI5+1</f>
        <v>43844</v>
      </c>
      <c r="DK5" s="57">
        <f t="shared" ref="DK5" si="38">DJ5+1</f>
        <v>43845</v>
      </c>
      <c r="DL5" s="57">
        <f t="shared" ref="DL5" si="39">DK5+1</f>
        <v>43846</v>
      </c>
      <c r="DM5" s="57">
        <f t="shared" ref="DM5" si="40">DL5+1</f>
        <v>43847</v>
      </c>
      <c r="DN5" s="57">
        <f t="shared" ref="DN5" si="41">DM5+1</f>
        <v>43848</v>
      </c>
      <c r="DO5" s="58">
        <f t="shared" ref="DO5" si="42">DN5+1</f>
        <v>43849</v>
      </c>
      <c r="DP5" s="56">
        <f>DO5+1</f>
        <v>43850</v>
      </c>
      <c r="DQ5" s="57">
        <f>DP5+1</f>
        <v>43851</v>
      </c>
      <c r="DR5" s="57">
        <f t="shared" ref="DR5" si="43">DQ5+1</f>
        <v>43852</v>
      </c>
      <c r="DS5" s="57">
        <f t="shared" ref="DS5" si="44">DR5+1</f>
        <v>43853</v>
      </c>
      <c r="DT5" s="57">
        <f t="shared" ref="DT5" si="45">DS5+1</f>
        <v>43854</v>
      </c>
      <c r="DU5" s="57">
        <f t="shared" ref="DU5" si="46">DT5+1</f>
        <v>43855</v>
      </c>
      <c r="DV5" s="58">
        <f t="shared" ref="DV5" si="47">DU5+1</f>
        <v>43856</v>
      </c>
      <c r="DW5" s="56">
        <f>DV5+1</f>
        <v>43857</v>
      </c>
      <c r="DX5" s="57">
        <f>DW5+1</f>
        <v>43858</v>
      </c>
      <c r="DY5" s="57">
        <f t="shared" ref="DY5" si="48">DX5+1</f>
        <v>43859</v>
      </c>
      <c r="DZ5" s="57">
        <f t="shared" ref="DZ5" si="49">DY5+1</f>
        <v>43860</v>
      </c>
      <c r="EA5" s="57">
        <f t="shared" ref="EA5" si="50">DZ5+1</f>
        <v>43861</v>
      </c>
      <c r="EB5" s="57">
        <f t="shared" ref="EB5" si="51">EA5+1</f>
        <v>43862</v>
      </c>
      <c r="EC5" s="58">
        <f t="shared" ref="EC5" si="52">EB5+1</f>
        <v>43863</v>
      </c>
      <c r="ED5" s="56">
        <f>EC5+1</f>
        <v>43864</v>
      </c>
      <c r="EE5" s="57">
        <f>ED5+1</f>
        <v>43865</v>
      </c>
      <c r="EF5" s="57">
        <f t="shared" ref="EF5" si="53">EE5+1</f>
        <v>43866</v>
      </c>
      <c r="EG5" s="57">
        <f t="shared" ref="EG5" si="54">EF5+1</f>
        <v>43867</v>
      </c>
      <c r="EH5" s="57">
        <f t="shared" ref="EH5" si="55">EG5+1</f>
        <v>43868</v>
      </c>
      <c r="EI5" s="57">
        <f t="shared" ref="EI5" si="56">EH5+1</f>
        <v>43869</v>
      </c>
      <c r="EJ5" s="58">
        <f t="shared" ref="EJ5" si="57">EI5+1</f>
        <v>43870</v>
      </c>
      <c r="EK5" s="56">
        <f>EJ5+1</f>
        <v>43871</v>
      </c>
      <c r="EL5" s="57">
        <f>EK5+1</f>
        <v>43872</v>
      </c>
      <c r="EM5" s="57">
        <f t="shared" ref="EM5" si="58">EL5+1</f>
        <v>43873</v>
      </c>
      <c r="EN5" s="57">
        <f t="shared" ref="EN5" si="59">EM5+1</f>
        <v>43874</v>
      </c>
      <c r="EO5" s="57">
        <f t="shared" ref="EO5" si="60">EN5+1</f>
        <v>43875</v>
      </c>
      <c r="EP5" s="57">
        <f t="shared" ref="EP5" si="61">EO5+1</f>
        <v>43876</v>
      </c>
      <c r="EQ5" s="58">
        <f t="shared" ref="EQ5" si="62">EP5+1</f>
        <v>43877</v>
      </c>
      <c r="ER5" s="56">
        <f>EQ5+1</f>
        <v>43878</v>
      </c>
      <c r="ES5" s="57">
        <f>ER5+1</f>
        <v>43879</v>
      </c>
      <c r="ET5" s="57">
        <f t="shared" ref="ET5" si="63">ES5+1</f>
        <v>43880</v>
      </c>
      <c r="EU5" s="57">
        <f t="shared" ref="EU5" si="64">ET5+1</f>
        <v>43881</v>
      </c>
      <c r="EV5" s="57">
        <f t="shared" ref="EV5" si="65">EU5+1</f>
        <v>43882</v>
      </c>
      <c r="EW5" s="57">
        <f t="shared" ref="EW5" si="66">EV5+1</f>
        <v>43883</v>
      </c>
      <c r="EX5" s="58">
        <f t="shared" ref="EX5" si="67">EW5+1</f>
        <v>43884</v>
      </c>
      <c r="EY5" s="56">
        <f>EX5+1</f>
        <v>43885</v>
      </c>
      <c r="EZ5" s="57">
        <f>EY5+1</f>
        <v>43886</v>
      </c>
      <c r="FA5" s="57">
        <f t="shared" ref="FA5" si="68">EZ5+1</f>
        <v>43887</v>
      </c>
      <c r="FB5" s="57">
        <f t="shared" ref="FB5" si="69">FA5+1</f>
        <v>43888</v>
      </c>
      <c r="FC5" s="57">
        <f t="shared" ref="FC5" si="70">FB5+1</f>
        <v>43889</v>
      </c>
      <c r="FD5" s="57">
        <f t="shared" ref="FD5" si="71">FC5+1</f>
        <v>43890</v>
      </c>
      <c r="FE5" s="58">
        <f t="shared" ref="FE5" si="72">FD5+1</f>
        <v>43891</v>
      </c>
      <c r="FF5" s="56">
        <f>FE5+1</f>
        <v>43892</v>
      </c>
      <c r="FG5" s="57">
        <f>FF5+1</f>
        <v>43893</v>
      </c>
      <c r="FH5" s="57">
        <f t="shared" ref="FH5" si="73">FG5+1</f>
        <v>43894</v>
      </c>
      <c r="FI5" s="57">
        <f t="shared" ref="FI5" si="74">FH5+1</f>
        <v>43895</v>
      </c>
      <c r="FJ5" s="57">
        <f t="shared" ref="FJ5" si="75">FI5+1</f>
        <v>43896</v>
      </c>
      <c r="FK5" s="57">
        <f t="shared" ref="FK5" si="76">FJ5+1</f>
        <v>43897</v>
      </c>
      <c r="FL5" s="58">
        <f t="shared" ref="FL5" si="77">FK5+1</f>
        <v>43898</v>
      </c>
      <c r="FM5" s="56">
        <f>FL5+1</f>
        <v>43899</v>
      </c>
      <c r="FN5" s="57">
        <f>FM5+1</f>
        <v>43900</v>
      </c>
      <c r="FO5" s="57">
        <f t="shared" ref="FO5" si="78">FN5+1</f>
        <v>43901</v>
      </c>
      <c r="FP5" s="57">
        <f t="shared" ref="FP5" si="79">FO5+1</f>
        <v>43902</v>
      </c>
      <c r="FQ5" s="57">
        <f t="shared" ref="FQ5" si="80">FP5+1</f>
        <v>43903</v>
      </c>
      <c r="FR5" s="57">
        <f t="shared" ref="FR5" si="81">FQ5+1</f>
        <v>43904</v>
      </c>
      <c r="FS5" s="58">
        <f t="shared" ref="FS5" si="82">FR5+1</f>
        <v>43905</v>
      </c>
      <c r="FT5" s="56">
        <f>FS5+1</f>
        <v>43906</v>
      </c>
      <c r="FU5" s="57">
        <f>FT5+1</f>
        <v>43907</v>
      </c>
      <c r="FV5" s="57">
        <f t="shared" ref="FV5" si="83">FU5+1</f>
        <v>43908</v>
      </c>
      <c r="FW5" s="57">
        <f t="shared" ref="FW5" si="84">FV5+1</f>
        <v>43909</v>
      </c>
      <c r="FX5" s="57">
        <f t="shared" ref="FX5" si="85">FW5+1</f>
        <v>43910</v>
      </c>
      <c r="FY5" s="57">
        <f t="shared" ref="FY5" si="86">FX5+1</f>
        <v>43911</v>
      </c>
      <c r="FZ5" s="58">
        <f t="shared" ref="FZ5" si="87">FY5+1</f>
        <v>43912</v>
      </c>
      <c r="GA5" s="56">
        <f>FZ5+1</f>
        <v>43913</v>
      </c>
      <c r="GB5" s="57">
        <f>GA5+1</f>
        <v>43914</v>
      </c>
      <c r="GC5" s="57">
        <f t="shared" ref="GC5" si="88">GB5+1</f>
        <v>43915</v>
      </c>
      <c r="GD5" s="57">
        <f t="shared" ref="GD5" si="89">GC5+1</f>
        <v>43916</v>
      </c>
      <c r="GE5" s="57">
        <f t="shared" ref="GE5" si="90">GD5+1</f>
        <v>43917</v>
      </c>
      <c r="GF5" s="57">
        <f t="shared" ref="GF5" si="91">GE5+1</f>
        <v>43918</v>
      </c>
      <c r="GG5" s="58">
        <f t="shared" ref="GG5" si="92">GF5+1</f>
        <v>43919</v>
      </c>
      <c r="GH5" s="56">
        <f>GG5+1</f>
        <v>43920</v>
      </c>
      <c r="GI5" s="57">
        <f>GH5+1</f>
        <v>43921</v>
      </c>
      <c r="GJ5" s="57">
        <f t="shared" ref="GJ5" si="93">GI5+1</f>
        <v>43922</v>
      </c>
      <c r="GK5" s="57">
        <f t="shared" ref="GK5" si="94">GJ5+1</f>
        <v>43923</v>
      </c>
      <c r="GL5" s="57">
        <f t="shared" ref="GL5" si="95">GK5+1</f>
        <v>43924</v>
      </c>
      <c r="GM5" s="57">
        <f t="shared" ref="GM5" si="96">GL5+1</f>
        <v>43925</v>
      </c>
      <c r="GN5" s="58">
        <f t="shared" ref="GN5" si="97">GM5+1</f>
        <v>43926</v>
      </c>
      <c r="GO5" s="56">
        <f>GN5+1</f>
        <v>43927</v>
      </c>
      <c r="GP5" s="57">
        <f>GO5+1</f>
        <v>43928</v>
      </c>
      <c r="GQ5" s="57">
        <f t="shared" ref="GQ5" si="98">GP5+1</f>
        <v>43929</v>
      </c>
      <c r="GR5" s="57">
        <f t="shared" ref="GR5" si="99">GQ5+1</f>
        <v>43930</v>
      </c>
      <c r="GS5" s="57">
        <f t="shared" ref="GS5" si="100">GR5+1</f>
        <v>43931</v>
      </c>
      <c r="GT5" s="57">
        <f t="shared" ref="GT5" si="101">GS5+1</f>
        <v>43932</v>
      </c>
      <c r="GU5" s="58">
        <f t="shared" ref="GU5" si="102">GT5+1</f>
        <v>43933</v>
      </c>
    </row>
    <row r="6" spans="1:203" ht="30" customHeight="1" thickBot="1" x14ac:dyDescent="0.3">
      <c r="A6" s="31" t="s">
        <v>5</v>
      </c>
      <c r="B6" s="7" t="s">
        <v>14</v>
      </c>
      <c r="C6" s="8" t="s">
        <v>21</v>
      </c>
      <c r="D6" s="8" t="s">
        <v>22</v>
      </c>
      <c r="E6" s="8" t="s">
        <v>23</v>
      </c>
      <c r="F6" s="8"/>
      <c r="G6" s="8" t="s">
        <v>24</v>
      </c>
      <c r="H6" s="9" t="str">
        <f t="shared" ref="H6" si="103">LEFT(TEXT(H5,"ddd"),1)</f>
        <v>M</v>
      </c>
      <c r="I6" s="9" t="str">
        <f t="shared" ref="I6:AQ6" si="104">LEFT(TEXT(I5,"ddd"),1)</f>
        <v>T</v>
      </c>
      <c r="J6" s="9" t="str">
        <f t="shared" si="104"/>
        <v>W</v>
      </c>
      <c r="K6" s="9" t="str">
        <f t="shared" si="104"/>
        <v>T</v>
      </c>
      <c r="L6" s="9" t="str">
        <f t="shared" si="104"/>
        <v>F</v>
      </c>
      <c r="M6" s="9" t="str">
        <f t="shared" si="104"/>
        <v>S</v>
      </c>
      <c r="N6" s="9" t="str">
        <f t="shared" si="104"/>
        <v>S</v>
      </c>
      <c r="O6" s="9" t="str">
        <f t="shared" si="104"/>
        <v>M</v>
      </c>
      <c r="P6" s="9" t="str">
        <f t="shared" si="104"/>
        <v>T</v>
      </c>
      <c r="Q6" s="9" t="str">
        <f t="shared" si="104"/>
        <v>W</v>
      </c>
      <c r="R6" s="9" t="str">
        <f t="shared" si="104"/>
        <v>T</v>
      </c>
      <c r="S6" s="9" t="str">
        <f t="shared" si="104"/>
        <v>F</v>
      </c>
      <c r="T6" s="9" t="str">
        <f t="shared" si="104"/>
        <v>S</v>
      </c>
      <c r="U6" s="9" t="str">
        <f t="shared" si="104"/>
        <v>S</v>
      </c>
      <c r="V6" s="9" t="str">
        <f t="shared" si="104"/>
        <v>M</v>
      </c>
      <c r="W6" s="9" t="str">
        <f t="shared" si="104"/>
        <v>T</v>
      </c>
      <c r="X6" s="9" t="str">
        <f t="shared" si="104"/>
        <v>W</v>
      </c>
      <c r="Y6" s="9" t="str">
        <f t="shared" si="104"/>
        <v>T</v>
      </c>
      <c r="Z6" s="9" t="str">
        <f t="shared" si="104"/>
        <v>F</v>
      </c>
      <c r="AA6" s="9" t="str">
        <f t="shared" si="104"/>
        <v>S</v>
      </c>
      <c r="AB6" s="9" t="str">
        <f t="shared" si="104"/>
        <v>S</v>
      </c>
      <c r="AC6" s="9" t="str">
        <f t="shared" si="104"/>
        <v>M</v>
      </c>
      <c r="AD6" s="9" t="str">
        <f t="shared" si="104"/>
        <v>T</v>
      </c>
      <c r="AE6" s="9" t="str">
        <f t="shared" si="104"/>
        <v>W</v>
      </c>
      <c r="AF6" s="9" t="str">
        <f t="shared" si="104"/>
        <v>T</v>
      </c>
      <c r="AG6" s="9" t="str">
        <f t="shared" si="104"/>
        <v>F</v>
      </c>
      <c r="AH6" s="9" t="str">
        <f t="shared" si="104"/>
        <v>S</v>
      </c>
      <c r="AI6" s="9" t="str">
        <f t="shared" si="104"/>
        <v>S</v>
      </c>
      <c r="AJ6" s="9" t="str">
        <f t="shared" si="104"/>
        <v>M</v>
      </c>
      <c r="AK6" s="9" t="str">
        <f t="shared" si="104"/>
        <v>T</v>
      </c>
      <c r="AL6" s="9" t="str">
        <f t="shared" si="104"/>
        <v>W</v>
      </c>
      <c r="AM6" s="9" t="str">
        <f t="shared" si="104"/>
        <v>T</v>
      </c>
      <c r="AN6" s="9" t="str">
        <f t="shared" si="104"/>
        <v>F</v>
      </c>
      <c r="AO6" s="9" t="str">
        <f t="shared" si="104"/>
        <v>S</v>
      </c>
      <c r="AP6" s="9" t="str">
        <f t="shared" si="104"/>
        <v>S</v>
      </c>
      <c r="AQ6" s="9" t="str">
        <f t="shared" si="104"/>
        <v>M</v>
      </c>
      <c r="AR6" s="9" t="str">
        <f t="shared" ref="AR6:BK6" si="105">LEFT(TEXT(AR5,"ddd"),1)</f>
        <v>T</v>
      </c>
      <c r="AS6" s="9" t="str">
        <f t="shared" si="105"/>
        <v>W</v>
      </c>
      <c r="AT6" s="9" t="str">
        <f t="shared" si="105"/>
        <v>T</v>
      </c>
      <c r="AU6" s="9" t="str">
        <f t="shared" si="105"/>
        <v>F</v>
      </c>
      <c r="AV6" s="9" t="str">
        <f t="shared" si="105"/>
        <v>S</v>
      </c>
      <c r="AW6" s="9" t="str">
        <f t="shared" si="105"/>
        <v>S</v>
      </c>
      <c r="AX6" s="9" t="str">
        <f t="shared" si="105"/>
        <v>M</v>
      </c>
      <c r="AY6" s="9" t="str">
        <f t="shared" si="105"/>
        <v>T</v>
      </c>
      <c r="AZ6" s="9" t="str">
        <f t="shared" si="105"/>
        <v>W</v>
      </c>
      <c r="BA6" s="9" t="str">
        <f t="shared" si="105"/>
        <v>T</v>
      </c>
      <c r="BB6" s="9" t="str">
        <f t="shared" si="105"/>
        <v>F</v>
      </c>
      <c r="BC6" s="9" t="str">
        <f t="shared" si="105"/>
        <v>S</v>
      </c>
      <c r="BD6" s="9" t="str">
        <f t="shared" si="105"/>
        <v>S</v>
      </c>
      <c r="BE6" s="9" t="str">
        <f t="shared" si="105"/>
        <v>M</v>
      </c>
      <c r="BF6" s="9" t="str">
        <f t="shared" si="105"/>
        <v>T</v>
      </c>
      <c r="BG6" s="9" t="str">
        <f t="shared" si="105"/>
        <v>W</v>
      </c>
      <c r="BH6" s="9" t="str">
        <f t="shared" si="105"/>
        <v>T</v>
      </c>
      <c r="BI6" s="9" t="str">
        <f t="shared" si="105"/>
        <v>F</v>
      </c>
      <c r="BJ6" s="9" t="str">
        <f t="shared" si="105"/>
        <v>S</v>
      </c>
      <c r="BK6" s="9" t="str">
        <f t="shared" si="105"/>
        <v>S</v>
      </c>
      <c r="BL6" s="9" t="str">
        <f t="shared" ref="BL6:DW6" si="106">LEFT(TEXT(BL5,"ddd"),1)</f>
        <v>M</v>
      </c>
      <c r="BM6" s="9" t="str">
        <f t="shared" si="106"/>
        <v>T</v>
      </c>
      <c r="BN6" s="9" t="str">
        <f t="shared" si="106"/>
        <v>W</v>
      </c>
      <c r="BO6" s="9" t="str">
        <f t="shared" si="106"/>
        <v>T</v>
      </c>
      <c r="BP6" s="9" t="str">
        <f t="shared" si="106"/>
        <v>F</v>
      </c>
      <c r="BQ6" s="9" t="str">
        <f t="shared" si="106"/>
        <v>S</v>
      </c>
      <c r="BR6" s="9" t="str">
        <f t="shared" si="106"/>
        <v>S</v>
      </c>
      <c r="BS6" s="9" t="str">
        <f t="shared" si="106"/>
        <v>M</v>
      </c>
      <c r="BT6" s="9" t="str">
        <f t="shared" si="106"/>
        <v>T</v>
      </c>
      <c r="BU6" s="9" t="str">
        <f t="shared" si="106"/>
        <v>W</v>
      </c>
      <c r="BV6" s="9" t="str">
        <f t="shared" si="106"/>
        <v>T</v>
      </c>
      <c r="BW6" s="9" t="str">
        <f t="shared" si="106"/>
        <v>F</v>
      </c>
      <c r="BX6" s="9" t="str">
        <f t="shared" si="106"/>
        <v>S</v>
      </c>
      <c r="BY6" s="9" t="str">
        <f t="shared" si="106"/>
        <v>S</v>
      </c>
      <c r="BZ6" s="9" t="str">
        <f t="shared" si="106"/>
        <v>M</v>
      </c>
      <c r="CA6" s="9" t="str">
        <f t="shared" si="106"/>
        <v>T</v>
      </c>
      <c r="CB6" s="9" t="str">
        <f t="shared" si="106"/>
        <v>W</v>
      </c>
      <c r="CC6" s="9" t="str">
        <f t="shared" si="106"/>
        <v>T</v>
      </c>
      <c r="CD6" s="9" t="str">
        <f t="shared" si="106"/>
        <v>F</v>
      </c>
      <c r="CE6" s="9" t="str">
        <f t="shared" si="106"/>
        <v>S</v>
      </c>
      <c r="CF6" s="9" t="str">
        <f t="shared" si="106"/>
        <v>S</v>
      </c>
      <c r="CG6" s="9" t="str">
        <f t="shared" si="106"/>
        <v>M</v>
      </c>
      <c r="CH6" s="9" t="str">
        <f t="shared" si="106"/>
        <v>T</v>
      </c>
      <c r="CI6" s="9" t="str">
        <f t="shared" si="106"/>
        <v>W</v>
      </c>
      <c r="CJ6" s="9" t="str">
        <f t="shared" si="106"/>
        <v>T</v>
      </c>
      <c r="CK6" s="9" t="str">
        <f t="shared" si="106"/>
        <v>F</v>
      </c>
      <c r="CL6" s="9" t="str">
        <f t="shared" si="106"/>
        <v>S</v>
      </c>
      <c r="CM6" s="9" t="str">
        <f t="shared" si="106"/>
        <v>S</v>
      </c>
      <c r="CN6" s="9" t="str">
        <f t="shared" si="106"/>
        <v>M</v>
      </c>
      <c r="CO6" s="9" t="str">
        <f t="shared" si="106"/>
        <v>T</v>
      </c>
      <c r="CP6" s="9" t="str">
        <f t="shared" si="106"/>
        <v>W</v>
      </c>
      <c r="CQ6" s="9" t="str">
        <f t="shared" si="106"/>
        <v>T</v>
      </c>
      <c r="CR6" s="9" t="str">
        <f t="shared" si="106"/>
        <v>F</v>
      </c>
      <c r="CS6" s="9" t="str">
        <f t="shared" si="106"/>
        <v>S</v>
      </c>
      <c r="CT6" s="9" t="str">
        <f t="shared" si="106"/>
        <v>S</v>
      </c>
      <c r="CU6" s="9" t="str">
        <f t="shared" si="106"/>
        <v>M</v>
      </c>
      <c r="CV6" s="9" t="str">
        <f t="shared" si="106"/>
        <v>T</v>
      </c>
      <c r="CW6" s="9" t="str">
        <f t="shared" si="106"/>
        <v>W</v>
      </c>
      <c r="CX6" s="9" t="str">
        <f t="shared" si="106"/>
        <v>T</v>
      </c>
      <c r="CY6" s="9" t="str">
        <f t="shared" si="106"/>
        <v>F</v>
      </c>
      <c r="CZ6" s="9" t="str">
        <f t="shared" si="106"/>
        <v>S</v>
      </c>
      <c r="DA6" s="9" t="str">
        <f t="shared" si="106"/>
        <v>S</v>
      </c>
      <c r="DB6" s="9" t="str">
        <f t="shared" si="106"/>
        <v>M</v>
      </c>
      <c r="DC6" s="9" t="str">
        <f t="shared" si="106"/>
        <v>T</v>
      </c>
      <c r="DD6" s="9" t="str">
        <f t="shared" si="106"/>
        <v>W</v>
      </c>
      <c r="DE6" s="9" t="str">
        <f t="shared" si="106"/>
        <v>T</v>
      </c>
      <c r="DF6" s="9" t="str">
        <f t="shared" si="106"/>
        <v>F</v>
      </c>
      <c r="DG6" s="9" t="str">
        <f t="shared" si="106"/>
        <v>S</v>
      </c>
      <c r="DH6" s="9" t="str">
        <f t="shared" si="106"/>
        <v>S</v>
      </c>
      <c r="DI6" s="9" t="str">
        <f t="shared" si="106"/>
        <v>M</v>
      </c>
      <c r="DJ6" s="9" t="str">
        <f t="shared" si="106"/>
        <v>T</v>
      </c>
      <c r="DK6" s="9" t="str">
        <f t="shared" si="106"/>
        <v>W</v>
      </c>
      <c r="DL6" s="9" t="str">
        <f t="shared" si="106"/>
        <v>T</v>
      </c>
      <c r="DM6" s="9" t="str">
        <f t="shared" si="106"/>
        <v>F</v>
      </c>
      <c r="DN6" s="9" t="str">
        <f t="shared" si="106"/>
        <v>S</v>
      </c>
      <c r="DO6" s="9" t="str">
        <f t="shared" si="106"/>
        <v>S</v>
      </c>
      <c r="DP6" s="9" t="str">
        <f t="shared" si="106"/>
        <v>M</v>
      </c>
      <c r="DQ6" s="9" t="str">
        <f t="shared" si="106"/>
        <v>T</v>
      </c>
      <c r="DR6" s="9" t="str">
        <f t="shared" si="106"/>
        <v>W</v>
      </c>
      <c r="DS6" s="9" t="str">
        <f t="shared" si="106"/>
        <v>T</v>
      </c>
      <c r="DT6" s="9" t="str">
        <f t="shared" si="106"/>
        <v>F</v>
      </c>
      <c r="DU6" s="9" t="str">
        <f t="shared" si="106"/>
        <v>S</v>
      </c>
      <c r="DV6" s="9" t="str">
        <f t="shared" si="106"/>
        <v>S</v>
      </c>
      <c r="DW6" s="9" t="str">
        <f t="shared" si="106"/>
        <v>M</v>
      </c>
      <c r="DX6" s="9" t="str">
        <f t="shared" ref="DX6:GI6" si="107">LEFT(TEXT(DX5,"ddd"),1)</f>
        <v>T</v>
      </c>
      <c r="DY6" s="9" t="str">
        <f t="shared" si="107"/>
        <v>W</v>
      </c>
      <c r="DZ6" s="9" t="str">
        <f t="shared" si="107"/>
        <v>T</v>
      </c>
      <c r="EA6" s="9" t="str">
        <f t="shared" si="107"/>
        <v>F</v>
      </c>
      <c r="EB6" s="9" t="str">
        <f t="shared" si="107"/>
        <v>S</v>
      </c>
      <c r="EC6" s="9" t="str">
        <f t="shared" si="107"/>
        <v>S</v>
      </c>
      <c r="ED6" s="9" t="str">
        <f t="shared" si="107"/>
        <v>M</v>
      </c>
      <c r="EE6" s="9" t="str">
        <f t="shared" si="107"/>
        <v>T</v>
      </c>
      <c r="EF6" s="9" t="str">
        <f t="shared" si="107"/>
        <v>W</v>
      </c>
      <c r="EG6" s="9" t="str">
        <f t="shared" si="107"/>
        <v>T</v>
      </c>
      <c r="EH6" s="9" t="str">
        <f t="shared" si="107"/>
        <v>F</v>
      </c>
      <c r="EI6" s="9" t="str">
        <f t="shared" si="107"/>
        <v>S</v>
      </c>
      <c r="EJ6" s="9" t="str">
        <f t="shared" si="107"/>
        <v>S</v>
      </c>
      <c r="EK6" s="9" t="str">
        <f t="shared" si="107"/>
        <v>M</v>
      </c>
      <c r="EL6" s="9" t="str">
        <f t="shared" si="107"/>
        <v>T</v>
      </c>
      <c r="EM6" s="9" t="str">
        <f t="shared" si="107"/>
        <v>W</v>
      </c>
      <c r="EN6" s="9" t="str">
        <f t="shared" si="107"/>
        <v>T</v>
      </c>
      <c r="EO6" s="9" t="str">
        <f t="shared" si="107"/>
        <v>F</v>
      </c>
      <c r="EP6" s="9" t="str">
        <f t="shared" si="107"/>
        <v>S</v>
      </c>
      <c r="EQ6" s="9" t="str">
        <f t="shared" si="107"/>
        <v>S</v>
      </c>
      <c r="ER6" s="9" t="str">
        <f t="shared" si="107"/>
        <v>M</v>
      </c>
      <c r="ES6" s="9" t="str">
        <f t="shared" si="107"/>
        <v>T</v>
      </c>
      <c r="ET6" s="9" t="str">
        <f t="shared" si="107"/>
        <v>W</v>
      </c>
      <c r="EU6" s="9" t="str">
        <f t="shared" si="107"/>
        <v>T</v>
      </c>
      <c r="EV6" s="9" t="str">
        <f t="shared" si="107"/>
        <v>F</v>
      </c>
      <c r="EW6" s="9" t="str">
        <f t="shared" si="107"/>
        <v>S</v>
      </c>
      <c r="EX6" s="9" t="str">
        <f t="shared" si="107"/>
        <v>S</v>
      </c>
      <c r="EY6" s="9" t="str">
        <f t="shared" si="107"/>
        <v>M</v>
      </c>
      <c r="EZ6" s="9" t="str">
        <f t="shared" si="107"/>
        <v>T</v>
      </c>
      <c r="FA6" s="9" t="str">
        <f t="shared" si="107"/>
        <v>W</v>
      </c>
      <c r="FB6" s="9" t="str">
        <f t="shared" si="107"/>
        <v>T</v>
      </c>
      <c r="FC6" s="9" t="str">
        <f t="shared" si="107"/>
        <v>F</v>
      </c>
      <c r="FD6" s="9" t="str">
        <f t="shared" si="107"/>
        <v>S</v>
      </c>
      <c r="FE6" s="9" t="str">
        <f t="shared" si="107"/>
        <v>S</v>
      </c>
      <c r="FF6" s="9" t="str">
        <f t="shared" si="107"/>
        <v>M</v>
      </c>
      <c r="FG6" s="9" t="str">
        <f t="shared" si="107"/>
        <v>T</v>
      </c>
      <c r="FH6" s="9" t="str">
        <f t="shared" si="107"/>
        <v>W</v>
      </c>
      <c r="FI6" s="9" t="str">
        <f t="shared" si="107"/>
        <v>T</v>
      </c>
      <c r="FJ6" s="9" t="str">
        <f t="shared" si="107"/>
        <v>F</v>
      </c>
      <c r="FK6" s="9" t="str">
        <f t="shared" si="107"/>
        <v>S</v>
      </c>
      <c r="FL6" s="9" t="str">
        <f t="shared" si="107"/>
        <v>S</v>
      </c>
      <c r="FM6" s="9" t="str">
        <f t="shared" si="107"/>
        <v>M</v>
      </c>
      <c r="FN6" s="9" t="str">
        <f t="shared" si="107"/>
        <v>T</v>
      </c>
      <c r="FO6" s="9" t="str">
        <f t="shared" si="107"/>
        <v>W</v>
      </c>
      <c r="FP6" s="9" t="str">
        <f t="shared" si="107"/>
        <v>T</v>
      </c>
      <c r="FQ6" s="9" t="str">
        <f t="shared" si="107"/>
        <v>F</v>
      </c>
      <c r="FR6" s="9" t="str">
        <f t="shared" si="107"/>
        <v>S</v>
      </c>
      <c r="FS6" s="9" t="str">
        <f t="shared" si="107"/>
        <v>S</v>
      </c>
      <c r="FT6" s="9" t="str">
        <f t="shared" si="107"/>
        <v>M</v>
      </c>
      <c r="FU6" s="9" t="str">
        <f t="shared" si="107"/>
        <v>T</v>
      </c>
      <c r="FV6" s="9" t="str">
        <f t="shared" si="107"/>
        <v>W</v>
      </c>
      <c r="FW6" s="9" t="str">
        <f t="shared" si="107"/>
        <v>T</v>
      </c>
      <c r="FX6" s="9" t="str">
        <f t="shared" si="107"/>
        <v>F</v>
      </c>
      <c r="FY6" s="9" t="str">
        <f t="shared" si="107"/>
        <v>S</v>
      </c>
      <c r="FZ6" s="9" t="str">
        <f t="shared" si="107"/>
        <v>S</v>
      </c>
      <c r="GA6" s="9" t="str">
        <f t="shared" si="107"/>
        <v>M</v>
      </c>
      <c r="GB6" s="9" t="str">
        <f t="shared" si="107"/>
        <v>T</v>
      </c>
      <c r="GC6" s="9" t="str">
        <f t="shared" si="107"/>
        <v>W</v>
      </c>
      <c r="GD6" s="9" t="str">
        <f t="shared" si="107"/>
        <v>T</v>
      </c>
      <c r="GE6" s="9" t="str">
        <f t="shared" si="107"/>
        <v>F</v>
      </c>
      <c r="GF6" s="9" t="str">
        <f t="shared" si="107"/>
        <v>S</v>
      </c>
      <c r="GG6" s="9" t="str">
        <f t="shared" si="107"/>
        <v>S</v>
      </c>
      <c r="GH6" s="9" t="str">
        <f t="shared" si="107"/>
        <v>M</v>
      </c>
      <c r="GI6" s="9" t="str">
        <f t="shared" si="107"/>
        <v>T</v>
      </c>
      <c r="GJ6" s="9" t="str">
        <f t="shared" ref="GJ6:GU6" si="108">LEFT(TEXT(GJ5,"ddd"),1)</f>
        <v>W</v>
      </c>
      <c r="GK6" s="9" t="str">
        <f t="shared" si="108"/>
        <v>T</v>
      </c>
      <c r="GL6" s="9" t="str">
        <f t="shared" si="108"/>
        <v>F</v>
      </c>
      <c r="GM6" s="9" t="str">
        <f t="shared" si="108"/>
        <v>S</v>
      </c>
      <c r="GN6" s="9" t="str">
        <f t="shared" si="108"/>
        <v>S</v>
      </c>
      <c r="GO6" s="9" t="str">
        <f t="shared" si="108"/>
        <v>M</v>
      </c>
      <c r="GP6" s="9" t="str">
        <f t="shared" si="108"/>
        <v>T</v>
      </c>
      <c r="GQ6" s="9" t="str">
        <f t="shared" si="108"/>
        <v>W</v>
      </c>
      <c r="GR6" s="9" t="str">
        <f t="shared" si="108"/>
        <v>T</v>
      </c>
      <c r="GS6" s="9" t="str">
        <f t="shared" si="108"/>
        <v>F</v>
      </c>
      <c r="GT6" s="9" t="str">
        <f t="shared" si="108"/>
        <v>S</v>
      </c>
      <c r="GU6" s="9" t="str">
        <f t="shared" si="108"/>
        <v>S</v>
      </c>
    </row>
    <row r="7" spans="1:203" ht="30" hidden="1" customHeight="1" thickBot="1" x14ac:dyDescent="0.3">
      <c r="A7" s="30" t="s">
        <v>6</v>
      </c>
      <c r="D7"/>
      <c r="G7" t="str">
        <f>IF(OR(ISBLANK(task_start),ISBLANK(task_end)),"",task_end-task_start+1)</f>
        <v/>
      </c>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row>
    <row r="8" spans="1:203" s="2" customFormat="1" ht="30" customHeight="1" thickBot="1" x14ac:dyDescent="0.3">
      <c r="A8" s="31" t="s">
        <v>7</v>
      </c>
      <c r="B8" s="12" t="s">
        <v>42</v>
      </c>
      <c r="C8" s="59"/>
      <c r="D8" s="41"/>
      <c r="E8" s="42"/>
      <c r="F8" s="11"/>
      <c r="G8" s="11" t="str">
        <f t="shared" ref="G8:G28" si="109">IF(OR(ISBLANK(task_start),ISBLANK(task_end)),"",task_end-task_start+1)</f>
        <v/>
      </c>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8"/>
      <c r="DK8" s="18"/>
      <c r="DL8" s="18"/>
      <c r="DM8" s="18"/>
      <c r="DN8" s="18"/>
      <c r="DO8" s="18"/>
      <c r="DP8" s="18"/>
      <c r="DQ8" s="18"/>
      <c r="DR8" s="18"/>
      <c r="DS8" s="18"/>
      <c r="DT8" s="18"/>
      <c r="DU8" s="18"/>
      <c r="DV8" s="18"/>
      <c r="DW8" s="18"/>
      <c r="DX8" s="18"/>
      <c r="DY8" s="18"/>
      <c r="DZ8" s="18"/>
      <c r="EA8" s="18"/>
      <c r="EB8" s="18"/>
      <c r="EC8" s="18"/>
      <c r="ED8" s="18"/>
      <c r="EE8" s="18"/>
      <c r="EF8" s="18"/>
      <c r="EG8" s="18"/>
      <c r="EH8" s="18"/>
      <c r="EI8" s="18"/>
      <c r="EJ8" s="18"/>
      <c r="EK8" s="18"/>
      <c r="EL8" s="18"/>
      <c r="EM8" s="18"/>
      <c r="EN8" s="18"/>
      <c r="EO8" s="18"/>
      <c r="EP8" s="18"/>
      <c r="EQ8" s="18"/>
      <c r="ER8" s="18"/>
      <c r="ES8" s="18"/>
      <c r="ET8" s="18"/>
      <c r="EU8" s="18"/>
      <c r="EV8" s="18"/>
      <c r="EW8" s="18"/>
      <c r="EX8" s="18"/>
      <c r="EY8" s="18"/>
      <c r="EZ8" s="18"/>
      <c r="FA8" s="18"/>
      <c r="FB8" s="18"/>
      <c r="FC8" s="18"/>
      <c r="FD8" s="18"/>
      <c r="FE8" s="18"/>
      <c r="FF8" s="18"/>
      <c r="FG8" s="18"/>
      <c r="FH8" s="18"/>
      <c r="FI8" s="18"/>
      <c r="FJ8" s="18"/>
      <c r="FK8" s="18"/>
      <c r="FL8" s="18"/>
      <c r="FM8" s="18"/>
      <c r="FN8" s="18"/>
      <c r="FO8" s="18"/>
      <c r="FP8" s="18"/>
      <c r="FQ8" s="18"/>
      <c r="FR8" s="18"/>
      <c r="FS8" s="18"/>
      <c r="FT8" s="18"/>
      <c r="FU8" s="18"/>
      <c r="FV8" s="18"/>
      <c r="FW8" s="18"/>
      <c r="FX8" s="18"/>
      <c r="FY8" s="18"/>
      <c r="FZ8" s="18"/>
      <c r="GA8" s="18"/>
      <c r="GB8" s="18"/>
      <c r="GC8" s="18"/>
      <c r="GD8" s="18"/>
      <c r="GE8" s="18"/>
      <c r="GF8" s="18"/>
      <c r="GG8" s="18"/>
      <c r="GH8" s="18"/>
      <c r="GI8" s="18"/>
      <c r="GJ8" s="18"/>
      <c r="GK8" s="18"/>
      <c r="GL8" s="18"/>
      <c r="GM8" s="18"/>
      <c r="GN8" s="18"/>
      <c r="GO8" s="18"/>
      <c r="GP8" s="18"/>
      <c r="GQ8" s="18"/>
      <c r="GR8" s="18"/>
      <c r="GS8" s="18"/>
      <c r="GT8" s="18"/>
      <c r="GU8" s="18"/>
    </row>
    <row r="9" spans="1:203" s="2" customFormat="1" ht="30" customHeight="1" thickBot="1" x14ac:dyDescent="0.3">
      <c r="A9" s="31" t="s">
        <v>8</v>
      </c>
      <c r="B9" s="69" t="s">
        <v>54</v>
      </c>
      <c r="C9" s="60">
        <v>0.9</v>
      </c>
      <c r="D9" s="43">
        <f>Project_Start</f>
        <v>43738</v>
      </c>
      <c r="E9" s="43">
        <v>43758</v>
      </c>
      <c r="F9" s="11"/>
      <c r="G9" s="11">
        <f t="shared" si="109"/>
        <v>21</v>
      </c>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row>
    <row r="10" spans="1:203" s="2" customFormat="1" ht="30" customHeight="1" thickBot="1" x14ac:dyDescent="0.3">
      <c r="A10" s="31" t="s">
        <v>9</v>
      </c>
      <c r="B10" s="69" t="s">
        <v>43</v>
      </c>
      <c r="C10" s="60">
        <v>1</v>
      </c>
      <c r="D10" s="43">
        <v>43745</v>
      </c>
      <c r="E10" s="43">
        <f>D10+2</f>
        <v>43747</v>
      </c>
      <c r="F10" s="11"/>
      <c r="G10" s="11">
        <f t="shared" si="109"/>
        <v>3</v>
      </c>
      <c r="H10" s="18"/>
      <c r="I10" s="18"/>
      <c r="J10" s="18"/>
      <c r="K10" s="18"/>
      <c r="L10" s="18"/>
      <c r="M10" s="18"/>
      <c r="N10" s="18"/>
      <c r="O10" s="18"/>
      <c r="P10" s="18"/>
      <c r="Q10" s="18"/>
      <c r="R10" s="18"/>
      <c r="S10" s="18"/>
      <c r="T10" s="19"/>
      <c r="U10" s="19"/>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18"/>
      <c r="DP10" s="18"/>
      <c r="DQ10" s="18"/>
      <c r="DR10" s="18"/>
      <c r="DS10" s="18"/>
      <c r="DT10" s="18"/>
      <c r="DU10" s="18"/>
      <c r="DV10" s="18"/>
      <c r="DW10" s="18"/>
      <c r="DX10" s="18"/>
      <c r="DY10" s="18"/>
      <c r="DZ10" s="18"/>
      <c r="EA10" s="18"/>
      <c r="EB10" s="18"/>
      <c r="EC10" s="18"/>
      <c r="ED10" s="18"/>
      <c r="EE10" s="18"/>
      <c r="EF10" s="18"/>
      <c r="EG10" s="18"/>
      <c r="EH10" s="18"/>
      <c r="EI10" s="18"/>
      <c r="EJ10" s="18"/>
      <c r="EK10" s="18"/>
      <c r="EL10" s="18"/>
      <c r="EM10" s="18"/>
      <c r="EN10" s="18"/>
      <c r="EO10" s="18"/>
      <c r="EP10" s="18"/>
      <c r="EQ10" s="18"/>
      <c r="ER10" s="18"/>
      <c r="ES10" s="18"/>
      <c r="ET10" s="18"/>
      <c r="EU10" s="18"/>
      <c r="EV10" s="18"/>
      <c r="EW10" s="18"/>
      <c r="EX10" s="18"/>
      <c r="EY10" s="18"/>
      <c r="EZ10" s="18"/>
      <c r="FA10" s="18"/>
      <c r="FB10" s="18"/>
      <c r="FC10" s="18"/>
      <c r="FD10" s="18"/>
      <c r="FE10" s="18"/>
      <c r="FF10" s="18"/>
      <c r="FG10" s="18"/>
      <c r="FH10" s="18"/>
      <c r="FI10" s="18"/>
      <c r="FJ10" s="18"/>
      <c r="FK10" s="18"/>
      <c r="FL10" s="18"/>
      <c r="FM10" s="18"/>
      <c r="FN10" s="18"/>
      <c r="FO10" s="18"/>
      <c r="FP10" s="18"/>
      <c r="FQ10" s="18"/>
      <c r="FR10" s="18"/>
      <c r="FS10" s="18"/>
      <c r="FT10" s="18"/>
      <c r="FU10" s="18"/>
      <c r="FV10" s="18"/>
      <c r="FW10" s="18"/>
      <c r="FX10" s="18"/>
      <c r="FY10" s="18"/>
      <c r="FZ10" s="18"/>
      <c r="GA10" s="18"/>
      <c r="GB10" s="18"/>
      <c r="GC10" s="18"/>
      <c r="GD10" s="18"/>
      <c r="GE10" s="18"/>
      <c r="GF10" s="18"/>
      <c r="GG10" s="18"/>
      <c r="GH10" s="18"/>
      <c r="GI10" s="18"/>
      <c r="GJ10" s="18"/>
      <c r="GK10" s="18"/>
      <c r="GL10" s="18"/>
      <c r="GM10" s="18"/>
      <c r="GN10" s="18"/>
      <c r="GO10" s="18"/>
      <c r="GP10" s="18"/>
      <c r="GQ10" s="18"/>
      <c r="GR10" s="18"/>
      <c r="GS10" s="18"/>
      <c r="GT10" s="18"/>
      <c r="GU10" s="18"/>
    </row>
    <row r="11" spans="1:203" s="2" customFormat="1" ht="30" customHeight="1" thickBot="1" x14ac:dyDescent="0.3">
      <c r="A11" s="31" t="s">
        <v>10</v>
      </c>
      <c r="B11" s="13" t="s">
        <v>46</v>
      </c>
      <c r="C11" s="61"/>
      <c r="D11" s="44"/>
      <c r="E11" s="45"/>
      <c r="F11" s="11"/>
      <c r="G11" s="11" t="str">
        <f t="shared" si="109"/>
        <v/>
      </c>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row>
    <row r="12" spans="1:203" s="2" customFormat="1" ht="30" customHeight="1" thickBot="1" x14ac:dyDescent="0.3">
      <c r="A12" s="31"/>
      <c r="B12" s="70" t="s">
        <v>44</v>
      </c>
      <c r="C12" s="62"/>
      <c r="D12" s="46">
        <f>E9+1</f>
        <v>43759</v>
      </c>
      <c r="E12" s="46">
        <f>D12+14</f>
        <v>43773</v>
      </c>
      <c r="F12" s="11"/>
      <c r="G12" s="11">
        <f t="shared" si="109"/>
        <v>15</v>
      </c>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8"/>
      <c r="DK12" s="18"/>
      <c r="DL12" s="18"/>
      <c r="DM12" s="18"/>
      <c r="DN12" s="18"/>
      <c r="DO12" s="18"/>
      <c r="DP12" s="18"/>
      <c r="DQ12" s="18"/>
      <c r="DR12" s="18"/>
      <c r="DS12" s="18"/>
      <c r="DT12" s="18"/>
      <c r="DU12" s="18"/>
      <c r="DV12" s="18"/>
      <c r="DW12" s="18"/>
      <c r="DX12" s="18"/>
      <c r="DY12" s="18"/>
      <c r="DZ12" s="18"/>
      <c r="EA12" s="18"/>
      <c r="EB12" s="18"/>
      <c r="EC12" s="18"/>
      <c r="ED12" s="18"/>
      <c r="EE12" s="18"/>
      <c r="EF12" s="18"/>
      <c r="EG12" s="18"/>
      <c r="EH12" s="18"/>
      <c r="EI12" s="18"/>
      <c r="EJ12" s="18"/>
      <c r="EK12" s="18"/>
      <c r="EL12" s="18"/>
      <c r="EM12" s="18"/>
      <c r="EN12" s="18"/>
      <c r="EO12" s="18"/>
      <c r="EP12" s="18"/>
      <c r="EQ12" s="18"/>
      <c r="ER12" s="18"/>
      <c r="ES12" s="18"/>
      <c r="ET12" s="18"/>
      <c r="EU12" s="18"/>
      <c r="EV12" s="18"/>
      <c r="EW12" s="18"/>
      <c r="EX12" s="18"/>
      <c r="EY12" s="18"/>
      <c r="EZ12" s="18"/>
      <c r="FA12" s="18"/>
      <c r="FB12" s="18"/>
      <c r="FC12" s="18"/>
      <c r="FD12" s="18"/>
      <c r="FE12" s="18"/>
      <c r="FF12" s="18"/>
      <c r="FG12" s="18"/>
      <c r="FH12" s="18"/>
      <c r="FI12" s="18"/>
      <c r="FJ12" s="18"/>
      <c r="FK12" s="18"/>
      <c r="FL12" s="18"/>
      <c r="FM12" s="18"/>
      <c r="FN12" s="18"/>
      <c r="FO12" s="18"/>
      <c r="FP12" s="18"/>
      <c r="FQ12" s="18"/>
      <c r="FR12" s="18"/>
      <c r="FS12" s="18"/>
      <c r="FT12" s="18"/>
      <c r="FU12" s="18"/>
      <c r="FV12" s="18"/>
      <c r="FW12" s="18"/>
      <c r="FX12" s="18"/>
      <c r="FY12" s="18"/>
      <c r="FZ12" s="18"/>
      <c r="GA12" s="18"/>
      <c r="GB12" s="18"/>
      <c r="GC12" s="18"/>
      <c r="GD12" s="18"/>
      <c r="GE12" s="18"/>
      <c r="GF12" s="18"/>
      <c r="GG12" s="18"/>
      <c r="GH12" s="18"/>
      <c r="GI12" s="18"/>
      <c r="GJ12" s="18"/>
      <c r="GK12" s="18"/>
      <c r="GL12" s="18"/>
      <c r="GM12" s="18"/>
      <c r="GN12" s="18"/>
      <c r="GO12" s="18"/>
      <c r="GP12" s="18"/>
      <c r="GQ12" s="18"/>
      <c r="GR12" s="18"/>
      <c r="GS12" s="18"/>
      <c r="GT12" s="18"/>
      <c r="GU12" s="18"/>
    </row>
    <row r="13" spans="1:203" s="2" customFormat="1" ht="30" customHeight="1" thickBot="1" x14ac:dyDescent="0.3">
      <c r="A13" s="30"/>
      <c r="B13" s="70" t="s">
        <v>45</v>
      </c>
      <c r="C13" s="62"/>
      <c r="D13" s="46">
        <f t="shared" ref="D13:D14" si="110">E12+1</f>
        <v>43774</v>
      </c>
      <c r="E13" s="46">
        <f>D13+14</f>
        <v>43788</v>
      </c>
      <c r="F13" s="11"/>
      <c r="G13" s="11">
        <f t="shared" si="109"/>
        <v>15</v>
      </c>
      <c r="H13" s="18"/>
      <c r="I13" s="18"/>
      <c r="J13" s="18"/>
      <c r="K13" s="18"/>
      <c r="L13" s="18"/>
      <c r="M13" s="18"/>
      <c r="N13" s="18"/>
      <c r="O13" s="18"/>
      <c r="P13" s="18"/>
      <c r="Q13" s="18"/>
      <c r="R13" s="18"/>
      <c r="S13" s="18"/>
      <c r="T13" s="19"/>
      <c r="U13" s="19"/>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row>
    <row r="14" spans="1:203" s="2" customFormat="1" ht="30" customHeight="1" thickBot="1" x14ac:dyDescent="0.3">
      <c r="A14" s="30"/>
      <c r="B14" s="70" t="s">
        <v>55</v>
      </c>
      <c r="C14" s="62"/>
      <c r="D14" s="46">
        <f t="shared" si="110"/>
        <v>43789</v>
      </c>
      <c r="E14" s="46">
        <f>D14+14</f>
        <v>43803</v>
      </c>
      <c r="F14" s="11"/>
      <c r="G14" s="11">
        <f t="shared" si="109"/>
        <v>15</v>
      </c>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8"/>
      <c r="DK14" s="18"/>
      <c r="DL14" s="18"/>
      <c r="DM14" s="18"/>
      <c r="DN14" s="18"/>
      <c r="DO14" s="18"/>
      <c r="DP14" s="18"/>
      <c r="DQ14" s="18"/>
      <c r="DR14" s="18"/>
      <c r="DS14" s="18"/>
      <c r="DT14" s="18"/>
      <c r="DU14" s="18"/>
      <c r="DV14" s="18"/>
      <c r="DW14" s="18"/>
      <c r="DX14" s="18"/>
      <c r="DY14" s="18"/>
      <c r="DZ14" s="18"/>
      <c r="EA14" s="18"/>
      <c r="EB14" s="18"/>
      <c r="EC14" s="18"/>
      <c r="ED14" s="18"/>
      <c r="EE14" s="18"/>
      <c r="EF14" s="18"/>
      <c r="EG14" s="18"/>
      <c r="EH14" s="18"/>
      <c r="EI14" s="18"/>
      <c r="EJ14" s="18"/>
      <c r="EK14" s="18"/>
      <c r="EL14" s="18"/>
      <c r="EM14" s="18"/>
      <c r="EN14" s="18"/>
      <c r="EO14" s="18"/>
      <c r="EP14" s="18"/>
      <c r="EQ14" s="18"/>
      <c r="ER14" s="18"/>
      <c r="ES14" s="18"/>
      <c r="ET14" s="18"/>
      <c r="EU14" s="18"/>
      <c r="EV14" s="18"/>
      <c r="EW14" s="18"/>
      <c r="EX14" s="18"/>
      <c r="EY14" s="18"/>
      <c r="EZ14" s="18"/>
      <c r="FA14" s="18"/>
      <c r="FB14" s="18"/>
      <c r="FC14" s="18"/>
      <c r="FD14" s="18"/>
      <c r="FE14" s="18"/>
      <c r="FF14" s="18"/>
      <c r="FG14" s="18"/>
      <c r="FH14" s="18"/>
      <c r="FI14" s="18"/>
      <c r="FJ14" s="18"/>
      <c r="FK14" s="18"/>
      <c r="FL14" s="18"/>
      <c r="FM14" s="18"/>
      <c r="FN14" s="18"/>
      <c r="FO14" s="18"/>
      <c r="FP14" s="18"/>
      <c r="FQ14" s="18"/>
      <c r="FR14" s="18"/>
      <c r="FS14" s="18"/>
      <c r="FT14" s="18"/>
      <c r="FU14" s="18"/>
      <c r="FV14" s="18"/>
      <c r="FW14" s="18"/>
      <c r="FX14" s="18"/>
      <c r="FY14" s="18"/>
      <c r="FZ14" s="18"/>
      <c r="GA14" s="18"/>
      <c r="GB14" s="18"/>
      <c r="GC14" s="18"/>
      <c r="GD14" s="18"/>
      <c r="GE14" s="18"/>
      <c r="GF14" s="18"/>
      <c r="GG14" s="18"/>
      <c r="GH14" s="18"/>
      <c r="GI14" s="18"/>
      <c r="GJ14" s="18"/>
      <c r="GK14" s="18"/>
      <c r="GL14" s="18"/>
      <c r="GM14" s="18"/>
      <c r="GN14" s="18"/>
      <c r="GO14" s="18"/>
      <c r="GP14" s="18"/>
      <c r="GQ14" s="18"/>
      <c r="GR14" s="18"/>
      <c r="GS14" s="18"/>
      <c r="GT14" s="18"/>
      <c r="GU14" s="18"/>
    </row>
    <row r="15" spans="1:203" s="2" customFormat="1" ht="30" customHeight="1" thickBot="1" x14ac:dyDescent="0.3">
      <c r="A15" s="30" t="s">
        <v>11</v>
      </c>
      <c r="B15" s="14" t="s">
        <v>47</v>
      </c>
      <c r="C15" s="63"/>
      <c r="D15" s="47"/>
      <c r="E15" s="48"/>
      <c r="F15" s="11"/>
      <c r="G15" s="11" t="str">
        <f t="shared" si="109"/>
        <v/>
      </c>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row>
    <row r="16" spans="1:203" s="2" customFormat="1" ht="30" customHeight="1" thickBot="1" x14ac:dyDescent="0.3">
      <c r="A16" s="30"/>
      <c r="B16" s="71" t="s">
        <v>49</v>
      </c>
      <c r="C16" s="64"/>
      <c r="D16" s="49"/>
      <c r="E16" s="49"/>
      <c r="F16" s="11"/>
      <c r="G16" s="11" t="str">
        <f t="shared" si="109"/>
        <v/>
      </c>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8"/>
      <c r="DK16" s="18"/>
      <c r="DL16" s="18"/>
      <c r="DM16" s="18"/>
      <c r="DN16" s="18"/>
      <c r="DO16" s="18"/>
      <c r="DP16" s="18"/>
      <c r="DQ16" s="18"/>
      <c r="DR16" s="18"/>
      <c r="DS16" s="18"/>
      <c r="DT16" s="18"/>
      <c r="DU16" s="18"/>
      <c r="DV16" s="18"/>
      <c r="DW16" s="18"/>
      <c r="DX16" s="18"/>
      <c r="DY16" s="18"/>
      <c r="DZ16" s="18"/>
      <c r="EA16" s="18"/>
      <c r="EB16" s="18"/>
      <c r="EC16" s="18"/>
      <c r="ED16" s="18"/>
      <c r="EE16" s="18"/>
      <c r="EF16" s="18"/>
      <c r="EG16" s="18"/>
      <c r="EH16" s="18"/>
      <c r="EI16" s="18"/>
      <c r="EJ16" s="18"/>
      <c r="EK16" s="18"/>
      <c r="EL16" s="18"/>
      <c r="EM16" s="18"/>
      <c r="EN16" s="18"/>
      <c r="EO16" s="18"/>
      <c r="EP16" s="18"/>
      <c r="EQ16" s="18"/>
      <c r="ER16" s="18"/>
      <c r="ES16" s="18"/>
      <c r="ET16" s="18"/>
      <c r="EU16" s="18"/>
      <c r="EV16" s="18"/>
      <c r="EW16" s="18"/>
      <c r="EX16" s="18"/>
      <c r="EY16" s="18"/>
      <c r="EZ16" s="18"/>
      <c r="FA16" s="18"/>
      <c r="FB16" s="18"/>
      <c r="FC16" s="18"/>
      <c r="FD16" s="18"/>
      <c r="FE16" s="18"/>
      <c r="FF16" s="18"/>
      <c r="FG16" s="18"/>
      <c r="FH16" s="18"/>
      <c r="FI16" s="18"/>
      <c r="FJ16" s="18"/>
      <c r="FK16" s="18"/>
      <c r="FL16" s="18"/>
      <c r="FM16" s="18"/>
      <c r="FN16" s="18"/>
      <c r="FO16" s="18"/>
      <c r="FP16" s="18"/>
      <c r="FQ16" s="18"/>
      <c r="FR16" s="18"/>
      <c r="FS16" s="18"/>
      <c r="FT16" s="18"/>
      <c r="FU16" s="18"/>
      <c r="FV16" s="18"/>
      <c r="FW16" s="18"/>
      <c r="FX16" s="18"/>
      <c r="FY16" s="18"/>
      <c r="FZ16" s="18"/>
      <c r="GA16" s="18"/>
      <c r="GB16" s="18"/>
      <c r="GC16" s="18"/>
      <c r="GD16" s="18"/>
      <c r="GE16" s="18"/>
      <c r="GF16" s="18"/>
      <c r="GG16" s="18"/>
      <c r="GH16" s="18"/>
      <c r="GI16" s="18"/>
      <c r="GJ16" s="18"/>
      <c r="GK16" s="18"/>
      <c r="GL16" s="18"/>
      <c r="GM16" s="18"/>
      <c r="GN16" s="18"/>
      <c r="GO16" s="18"/>
      <c r="GP16" s="18"/>
      <c r="GQ16" s="18"/>
      <c r="GR16" s="18"/>
      <c r="GS16" s="18"/>
      <c r="GT16" s="18"/>
      <c r="GU16" s="18"/>
    </row>
    <row r="17" spans="1:203" s="2" customFormat="1" ht="30" customHeight="1" thickBot="1" x14ac:dyDescent="0.3">
      <c r="A17" s="30"/>
      <c r="B17" s="71" t="s">
        <v>50</v>
      </c>
      <c r="C17" s="64"/>
      <c r="D17" s="49"/>
      <c r="E17" s="49"/>
      <c r="F17" s="11"/>
      <c r="G17" s="11" t="str">
        <f t="shared" si="109"/>
        <v/>
      </c>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row>
    <row r="18" spans="1:203" s="2" customFormat="1" ht="30" customHeight="1" thickBot="1" x14ac:dyDescent="0.3">
      <c r="A18" s="30"/>
      <c r="B18" s="71" t="s">
        <v>51</v>
      </c>
      <c r="C18" s="64"/>
      <c r="D18" s="49"/>
      <c r="E18" s="49"/>
      <c r="F18" s="11"/>
      <c r="G18" s="11" t="str">
        <f t="shared" si="109"/>
        <v/>
      </c>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K18" s="18"/>
      <c r="DL18" s="18"/>
      <c r="DM18" s="18"/>
      <c r="DN18" s="18"/>
      <c r="DO18" s="18"/>
      <c r="DP18" s="18"/>
      <c r="DQ18" s="18"/>
      <c r="DR18" s="18"/>
      <c r="DS18" s="18"/>
      <c r="DT18" s="18"/>
      <c r="DU18" s="18"/>
      <c r="DV18" s="18"/>
      <c r="DW18" s="18"/>
      <c r="DX18" s="18"/>
      <c r="DY18" s="18"/>
      <c r="DZ18" s="18"/>
      <c r="EA18" s="18"/>
      <c r="EB18" s="18"/>
      <c r="EC18" s="18"/>
      <c r="ED18" s="18"/>
      <c r="EE18" s="18"/>
      <c r="EF18" s="18"/>
      <c r="EG18" s="18"/>
      <c r="EH18" s="18"/>
      <c r="EI18" s="18"/>
      <c r="EJ18" s="18"/>
      <c r="EK18" s="18"/>
      <c r="EL18" s="18"/>
      <c r="EM18" s="18"/>
      <c r="EN18" s="18"/>
      <c r="EO18" s="18"/>
      <c r="EP18" s="18"/>
      <c r="EQ18" s="18"/>
      <c r="ER18" s="18"/>
      <c r="ES18" s="18"/>
      <c r="ET18" s="18"/>
      <c r="EU18" s="18"/>
      <c r="EV18" s="18"/>
      <c r="EW18" s="18"/>
      <c r="EX18" s="18"/>
      <c r="EY18" s="18"/>
      <c r="EZ18" s="18"/>
      <c r="FA18" s="18"/>
      <c r="FB18" s="18"/>
      <c r="FC18" s="18"/>
      <c r="FD18" s="18"/>
      <c r="FE18" s="18"/>
      <c r="FF18" s="18"/>
      <c r="FG18" s="18"/>
      <c r="FH18" s="18"/>
      <c r="FI18" s="18"/>
      <c r="FJ18" s="18"/>
      <c r="FK18" s="18"/>
      <c r="FL18" s="18"/>
      <c r="FM18" s="18"/>
      <c r="FN18" s="18"/>
      <c r="FO18" s="18"/>
      <c r="FP18" s="18"/>
      <c r="FQ18" s="18"/>
      <c r="FR18" s="18"/>
      <c r="FS18" s="18"/>
      <c r="FT18" s="18"/>
      <c r="FU18" s="18"/>
      <c r="FV18" s="18"/>
      <c r="FW18" s="18"/>
      <c r="FX18" s="18"/>
      <c r="FY18" s="18"/>
      <c r="FZ18" s="18"/>
      <c r="GA18" s="18"/>
      <c r="GB18" s="18"/>
      <c r="GC18" s="18"/>
      <c r="GD18" s="18"/>
      <c r="GE18" s="18"/>
      <c r="GF18" s="18"/>
      <c r="GG18" s="18"/>
      <c r="GH18" s="18"/>
      <c r="GI18" s="18"/>
      <c r="GJ18" s="18"/>
      <c r="GK18" s="18"/>
      <c r="GL18" s="18"/>
      <c r="GM18" s="18"/>
      <c r="GN18" s="18"/>
      <c r="GO18" s="18"/>
      <c r="GP18" s="18"/>
      <c r="GQ18" s="18"/>
      <c r="GR18" s="18"/>
      <c r="GS18" s="18"/>
      <c r="GT18" s="18"/>
      <c r="GU18" s="18"/>
    </row>
    <row r="19" spans="1:203" s="2" customFormat="1" ht="30" customHeight="1" thickBot="1" x14ac:dyDescent="0.3">
      <c r="A19" s="30"/>
      <c r="B19" s="71" t="s">
        <v>53</v>
      </c>
      <c r="C19" s="64"/>
      <c r="D19" s="49"/>
      <c r="E19" s="49"/>
      <c r="F19" s="11"/>
      <c r="G19" s="11" t="str">
        <f t="shared" si="109"/>
        <v/>
      </c>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row>
    <row r="20" spans="1:203" s="2" customFormat="1" ht="30" customHeight="1" thickBot="1" x14ac:dyDescent="0.3">
      <c r="A20" s="30"/>
      <c r="B20" s="71" t="s">
        <v>52</v>
      </c>
      <c r="C20" s="64"/>
      <c r="D20" s="49"/>
      <c r="E20" s="49"/>
      <c r="F20" s="11"/>
      <c r="G20" s="11" t="str">
        <f t="shared" si="109"/>
        <v/>
      </c>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K20" s="18"/>
      <c r="DL20" s="18"/>
      <c r="DM20" s="18"/>
      <c r="DN20" s="18"/>
      <c r="DO20" s="18"/>
      <c r="DP20" s="18"/>
      <c r="DQ20" s="18"/>
      <c r="DR20" s="18"/>
      <c r="DS20" s="18"/>
      <c r="DT20" s="18"/>
      <c r="DU20" s="18"/>
      <c r="DV20" s="18"/>
      <c r="DW20" s="18"/>
      <c r="DX20" s="18"/>
      <c r="DY20" s="18"/>
      <c r="DZ20" s="18"/>
      <c r="EA20" s="18"/>
      <c r="EB20" s="18"/>
      <c r="EC20" s="18"/>
      <c r="ED20" s="18"/>
      <c r="EE20" s="18"/>
      <c r="EF20" s="18"/>
      <c r="EG20" s="18"/>
      <c r="EH20" s="18"/>
      <c r="EI20" s="18"/>
      <c r="EJ20" s="18"/>
      <c r="EK20" s="18"/>
      <c r="EL20" s="18"/>
      <c r="EM20" s="18"/>
      <c r="EN20" s="18"/>
      <c r="EO20" s="18"/>
      <c r="EP20" s="18"/>
      <c r="EQ20" s="18"/>
      <c r="ER20" s="18"/>
      <c r="ES20" s="18"/>
      <c r="ET20" s="18"/>
      <c r="EU20" s="18"/>
      <c r="EV20" s="18"/>
      <c r="EW20" s="18"/>
      <c r="EX20" s="18"/>
      <c r="EY20" s="18"/>
      <c r="EZ20" s="18"/>
      <c r="FA20" s="18"/>
      <c r="FB20" s="18"/>
      <c r="FC20" s="18"/>
      <c r="FD20" s="18"/>
      <c r="FE20" s="18"/>
      <c r="FF20" s="18"/>
      <c r="FG20" s="18"/>
      <c r="FH20" s="18"/>
      <c r="FI20" s="18"/>
      <c r="FJ20" s="18"/>
      <c r="FK20" s="18"/>
      <c r="FL20" s="18"/>
      <c r="FM20" s="18"/>
      <c r="FN20" s="18"/>
      <c r="FO20" s="18"/>
      <c r="FP20" s="18"/>
      <c r="FQ20" s="18"/>
      <c r="FR20" s="18"/>
      <c r="FS20" s="18"/>
      <c r="FT20" s="18"/>
      <c r="FU20" s="18"/>
      <c r="FV20" s="18"/>
      <c r="FW20" s="18"/>
      <c r="FX20" s="18"/>
      <c r="FY20" s="18"/>
      <c r="FZ20" s="18"/>
      <c r="GA20" s="18"/>
      <c r="GB20" s="18"/>
      <c r="GC20" s="18"/>
      <c r="GD20" s="18"/>
      <c r="GE20" s="18"/>
      <c r="GF20" s="18"/>
      <c r="GG20" s="18"/>
      <c r="GH20" s="18"/>
      <c r="GI20" s="18"/>
      <c r="GJ20" s="18"/>
      <c r="GK20" s="18"/>
      <c r="GL20" s="18"/>
      <c r="GM20" s="18"/>
      <c r="GN20" s="18"/>
      <c r="GO20" s="18"/>
      <c r="GP20" s="18"/>
      <c r="GQ20" s="18"/>
      <c r="GR20" s="18"/>
      <c r="GS20" s="18"/>
      <c r="GT20" s="18"/>
      <c r="GU20" s="18"/>
    </row>
    <row r="21" spans="1:203" s="2" customFormat="1" ht="30" customHeight="1" thickBot="1" x14ac:dyDescent="0.3">
      <c r="A21" s="30" t="s">
        <v>11</v>
      </c>
      <c r="B21" s="15" t="s">
        <v>48</v>
      </c>
      <c r="C21" s="65"/>
      <c r="D21" s="50"/>
      <c r="E21" s="51"/>
      <c r="F21" s="11"/>
      <c r="G21" s="11" t="str">
        <f t="shared" si="109"/>
        <v/>
      </c>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row>
    <row r="22" spans="1:203" s="2" customFormat="1" ht="30" customHeight="1" thickBot="1" x14ac:dyDescent="0.3">
      <c r="A22" s="30"/>
      <c r="B22" s="37" t="s">
        <v>15</v>
      </c>
      <c r="C22" s="66"/>
      <c r="D22" s="52"/>
      <c r="E22" s="52"/>
      <c r="F22" s="11"/>
      <c r="G22" s="11" t="str">
        <f t="shared" si="109"/>
        <v/>
      </c>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K22" s="18"/>
      <c r="DL22" s="18"/>
      <c r="DM22" s="18"/>
      <c r="DN22" s="18"/>
      <c r="DO22" s="18"/>
      <c r="DP22" s="18"/>
      <c r="DQ22" s="18"/>
      <c r="DR22" s="18"/>
      <c r="DS22" s="18"/>
      <c r="DT22" s="18"/>
      <c r="DU22" s="18"/>
      <c r="DV22" s="18"/>
      <c r="DW22" s="18"/>
      <c r="DX22" s="18"/>
      <c r="DY22" s="18"/>
      <c r="DZ22" s="18"/>
      <c r="EA22" s="18"/>
      <c r="EB22" s="18"/>
      <c r="EC22" s="18"/>
      <c r="ED22" s="18"/>
      <c r="EE22" s="18"/>
      <c r="EF22" s="18"/>
      <c r="EG22" s="18"/>
      <c r="EH22" s="18"/>
      <c r="EI22" s="18"/>
      <c r="EJ22" s="18"/>
      <c r="EK22" s="18"/>
      <c r="EL22" s="18"/>
      <c r="EM22" s="18"/>
      <c r="EN22" s="18"/>
      <c r="EO22" s="18"/>
      <c r="EP22" s="18"/>
      <c r="EQ22" s="18"/>
      <c r="ER22" s="18"/>
      <c r="ES22" s="18"/>
      <c r="ET22" s="18"/>
      <c r="EU22" s="18"/>
      <c r="EV22" s="18"/>
      <c r="EW22" s="18"/>
      <c r="EX22" s="18"/>
      <c r="EY22" s="18"/>
      <c r="EZ22" s="18"/>
      <c r="FA22" s="18"/>
      <c r="FB22" s="18"/>
      <c r="FC22" s="18"/>
      <c r="FD22" s="18"/>
      <c r="FE22" s="18"/>
      <c r="FF22" s="18"/>
      <c r="FG22" s="18"/>
      <c r="FH22" s="18"/>
      <c r="FI22" s="18"/>
      <c r="FJ22" s="18"/>
      <c r="FK22" s="18"/>
      <c r="FL22" s="18"/>
      <c r="FM22" s="18"/>
      <c r="FN22" s="18"/>
      <c r="FO22" s="18"/>
      <c r="FP22" s="18"/>
      <c r="FQ22" s="18"/>
      <c r="FR22" s="18"/>
      <c r="FS22" s="18"/>
      <c r="FT22" s="18"/>
      <c r="FU22" s="18"/>
      <c r="FV22" s="18"/>
      <c r="FW22" s="18"/>
      <c r="FX22" s="18"/>
      <c r="FY22" s="18"/>
      <c r="FZ22" s="18"/>
      <c r="GA22" s="18"/>
      <c r="GB22" s="18"/>
      <c r="GC22" s="18"/>
      <c r="GD22" s="18"/>
      <c r="GE22" s="18"/>
      <c r="GF22" s="18"/>
      <c r="GG22" s="18"/>
      <c r="GH22" s="18"/>
      <c r="GI22" s="18"/>
      <c r="GJ22" s="18"/>
      <c r="GK22" s="18"/>
      <c r="GL22" s="18"/>
      <c r="GM22" s="18"/>
      <c r="GN22" s="18"/>
      <c r="GO22" s="18"/>
      <c r="GP22" s="18"/>
      <c r="GQ22" s="18"/>
      <c r="GR22" s="18"/>
      <c r="GS22" s="18"/>
      <c r="GT22" s="18"/>
      <c r="GU22" s="18"/>
    </row>
    <row r="23" spans="1:203" s="2" customFormat="1" ht="30" customHeight="1" thickBot="1" x14ac:dyDescent="0.3">
      <c r="A23" s="30"/>
      <c r="B23" s="37" t="s">
        <v>16</v>
      </c>
      <c r="C23" s="66"/>
      <c r="D23" s="52"/>
      <c r="E23" s="52"/>
      <c r="F23" s="11"/>
      <c r="G23" s="11" t="str">
        <f t="shared" si="109"/>
        <v/>
      </c>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row>
    <row r="24" spans="1:203" s="2" customFormat="1" ht="30" customHeight="1" thickBot="1" x14ac:dyDescent="0.3">
      <c r="A24" s="30"/>
      <c r="B24" s="37" t="s">
        <v>17</v>
      </c>
      <c r="C24" s="66"/>
      <c r="D24" s="52"/>
      <c r="E24" s="52"/>
      <c r="F24" s="11"/>
      <c r="G24" s="11" t="str">
        <f t="shared" si="109"/>
        <v/>
      </c>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18"/>
      <c r="DP24" s="18"/>
      <c r="DQ24" s="18"/>
      <c r="DR24" s="18"/>
      <c r="DS24" s="18"/>
      <c r="DT24" s="18"/>
      <c r="DU24" s="18"/>
      <c r="DV24" s="18"/>
      <c r="DW24" s="18"/>
      <c r="DX24" s="18"/>
      <c r="DY24" s="18"/>
      <c r="DZ24" s="18"/>
      <c r="EA24" s="18"/>
      <c r="EB24" s="18"/>
      <c r="EC24" s="18"/>
      <c r="ED24" s="18"/>
      <c r="EE24" s="18"/>
      <c r="EF24" s="18"/>
      <c r="EG24" s="18"/>
      <c r="EH24" s="18"/>
      <c r="EI24" s="18"/>
      <c r="EJ24" s="18"/>
      <c r="EK24" s="18"/>
      <c r="EL24" s="18"/>
      <c r="EM24" s="18"/>
      <c r="EN24" s="18"/>
      <c r="EO24" s="18"/>
      <c r="EP24" s="18"/>
      <c r="EQ24" s="18"/>
      <c r="ER24" s="18"/>
      <c r="ES24" s="18"/>
      <c r="ET24" s="18"/>
      <c r="EU24" s="18"/>
      <c r="EV24" s="18"/>
      <c r="EW24" s="18"/>
      <c r="EX24" s="18"/>
      <c r="EY24" s="18"/>
      <c r="EZ24" s="18"/>
      <c r="FA24" s="18"/>
      <c r="FB24" s="18"/>
      <c r="FC24" s="18"/>
      <c r="FD24" s="18"/>
      <c r="FE24" s="18"/>
      <c r="FF24" s="18"/>
      <c r="FG24" s="18"/>
      <c r="FH24" s="18"/>
      <c r="FI24" s="18"/>
      <c r="FJ24" s="18"/>
      <c r="FK24" s="18"/>
      <c r="FL24" s="18"/>
      <c r="FM24" s="18"/>
      <c r="FN24" s="18"/>
      <c r="FO24" s="18"/>
      <c r="FP24" s="18"/>
      <c r="FQ24" s="18"/>
      <c r="FR24" s="18"/>
      <c r="FS24" s="18"/>
      <c r="FT24" s="18"/>
      <c r="FU24" s="18"/>
      <c r="FV24" s="18"/>
      <c r="FW24" s="18"/>
      <c r="FX24" s="18"/>
      <c r="FY24" s="18"/>
      <c r="FZ24" s="18"/>
      <c r="GA24" s="18"/>
      <c r="GB24" s="18"/>
      <c r="GC24" s="18"/>
      <c r="GD24" s="18"/>
      <c r="GE24" s="18"/>
      <c r="GF24" s="18"/>
      <c r="GG24" s="18"/>
      <c r="GH24" s="18"/>
      <c r="GI24" s="18"/>
      <c r="GJ24" s="18"/>
      <c r="GK24" s="18"/>
      <c r="GL24" s="18"/>
      <c r="GM24" s="18"/>
      <c r="GN24" s="18"/>
      <c r="GO24" s="18"/>
      <c r="GP24" s="18"/>
      <c r="GQ24" s="18"/>
      <c r="GR24" s="18"/>
      <c r="GS24" s="18"/>
      <c r="GT24" s="18"/>
      <c r="GU24" s="18"/>
    </row>
    <row r="25" spans="1:203" s="2" customFormat="1" ht="30" customHeight="1" thickBot="1" x14ac:dyDescent="0.3">
      <c r="A25" s="30"/>
      <c r="B25" s="37" t="s">
        <v>18</v>
      </c>
      <c r="C25" s="66"/>
      <c r="D25" s="52"/>
      <c r="E25" s="52"/>
      <c r="F25" s="11"/>
      <c r="G25" s="11" t="str">
        <f t="shared" si="109"/>
        <v/>
      </c>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row>
    <row r="26" spans="1:203" s="2" customFormat="1" ht="30" customHeight="1" thickBot="1" x14ac:dyDescent="0.3">
      <c r="A26" s="30"/>
      <c r="B26" s="37" t="s">
        <v>19</v>
      </c>
      <c r="C26" s="66"/>
      <c r="D26" s="52"/>
      <c r="E26" s="52"/>
      <c r="F26" s="11"/>
      <c r="G26" s="11" t="str">
        <f t="shared" si="109"/>
        <v/>
      </c>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K26" s="18"/>
      <c r="DL26" s="18"/>
      <c r="DM26" s="18"/>
      <c r="DN26" s="18"/>
      <c r="DO26" s="18"/>
      <c r="DP26" s="18"/>
      <c r="DQ26" s="18"/>
      <c r="DR26" s="18"/>
      <c r="DS26" s="18"/>
      <c r="DT26" s="18"/>
      <c r="DU26" s="18"/>
      <c r="DV26" s="18"/>
      <c r="DW26" s="18"/>
      <c r="DX26" s="18"/>
      <c r="DY26" s="18"/>
      <c r="DZ26" s="18"/>
      <c r="EA26" s="18"/>
      <c r="EB26" s="18"/>
      <c r="EC26" s="18"/>
      <c r="ED26" s="18"/>
      <c r="EE26" s="18"/>
      <c r="EF26" s="18"/>
      <c r="EG26" s="18"/>
      <c r="EH26" s="18"/>
      <c r="EI26" s="18"/>
      <c r="EJ26" s="18"/>
      <c r="EK26" s="18"/>
      <c r="EL26" s="18"/>
      <c r="EM26" s="18"/>
      <c r="EN26" s="18"/>
      <c r="EO26" s="18"/>
      <c r="EP26" s="18"/>
      <c r="EQ26" s="18"/>
      <c r="ER26" s="18"/>
      <c r="ES26" s="18"/>
      <c r="ET26" s="18"/>
      <c r="EU26" s="18"/>
      <c r="EV26" s="18"/>
      <c r="EW26" s="18"/>
      <c r="EX26" s="18"/>
      <c r="EY26" s="18"/>
      <c r="EZ26" s="18"/>
      <c r="FA26" s="18"/>
      <c r="FB26" s="18"/>
      <c r="FC26" s="18"/>
      <c r="FD26" s="18"/>
      <c r="FE26" s="18"/>
      <c r="FF26" s="18"/>
      <c r="FG26" s="18"/>
      <c r="FH26" s="18"/>
      <c r="FI26" s="18"/>
      <c r="FJ26" s="18"/>
      <c r="FK26" s="18"/>
      <c r="FL26" s="18"/>
      <c r="FM26" s="18"/>
      <c r="FN26" s="18"/>
      <c r="FO26" s="18"/>
      <c r="FP26" s="18"/>
      <c r="FQ26" s="18"/>
      <c r="FR26" s="18"/>
      <c r="FS26" s="18"/>
      <c r="FT26" s="18"/>
      <c r="FU26" s="18"/>
      <c r="FV26" s="18"/>
      <c r="FW26" s="18"/>
      <c r="FX26" s="18"/>
      <c r="FY26" s="18"/>
      <c r="FZ26" s="18"/>
      <c r="GA26" s="18"/>
      <c r="GB26" s="18"/>
      <c r="GC26" s="18"/>
      <c r="GD26" s="18"/>
      <c r="GE26" s="18"/>
      <c r="GF26" s="18"/>
      <c r="GG26" s="18"/>
      <c r="GH26" s="18"/>
      <c r="GI26" s="18"/>
      <c r="GJ26" s="18"/>
      <c r="GK26" s="18"/>
      <c r="GL26" s="18"/>
      <c r="GM26" s="18"/>
      <c r="GN26" s="18"/>
      <c r="GO26" s="18"/>
      <c r="GP26" s="18"/>
      <c r="GQ26" s="18"/>
      <c r="GR26" s="18"/>
      <c r="GS26" s="18"/>
      <c r="GT26" s="18"/>
      <c r="GU26" s="18"/>
    </row>
    <row r="27" spans="1:203" s="2" customFormat="1" ht="30" customHeight="1" thickBot="1" x14ac:dyDescent="0.3">
      <c r="A27" s="30" t="s">
        <v>12</v>
      </c>
      <c r="B27" s="38"/>
      <c r="C27" s="67"/>
      <c r="D27" s="53"/>
      <c r="E27" s="53"/>
      <c r="F27" s="11"/>
      <c r="G27" s="11" t="str">
        <f t="shared" si="109"/>
        <v/>
      </c>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row>
    <row r="28" spans="1:203" s="2" customFormat="1" ht="30" customHeight="1" thickBot="1" x14ac:dyDescent="0.3">
      <c r="A28" s="31" t="s">
        <v>13</v>
      </c>
      <c r="B28" s="16" t="s">
        <v>20</v>
      </c>
      <c r="C28" s="68"/>
      <c r="D28" s="54"/>
      <c r="E28" s="54"/>
      <c r="F28" s="17"/>
      <c r="G28" s="17" t="str">
        <f t="shared" si="109"/>
        <v/>
      </c>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c r="CY28" s="20"/>
      <c r="CZ28" s="20"/>
      <c r="DA28" s="20"/>
      <c r="DB28" s="20"/>
      <c r="DC28" s="20"/>
      <c r="DD28" s="20"/>
      <c r="DE28" s="20"/>
      <c r="DF28" s="20"/>
      <c r="DG28" s="20"/>
      <c r="DH28" s="20"/>
      <c r="DI28" s="20"/>
      <c r="DJ28" s="20"/>
      <c r="DK28" s="20"/>
      <c r="DL28" s="20"/>
      <c r="DM28" s="20"/>
      <c r="DN28" s="20"/>
      <c r="DO28" s="20"/>
      <c r="DP28" s="20"/>
      <c r="DQ28" s="20"/>
      <c r="DR28" s="20"/>
      <c r="DS28" s="20"/>
      <c r="DT28" s="20"/>
      <c r="DU28" s="20"/>
      <c r="DV28" s="20"/>
      <c r="DW28" s="20"/>
      <c r="DX28" s="20"/>
      <c r="DY28" s="20"/>
      <c r="DZ28" s="20"/>
      <c r="EA28" s="20"/>
      <c r="EB28" s="20"/>
      <c r="EC28" s="20"/>
      <c r="ED28" s="20"/>
      <c r="EE28" s="20"/>
      <c r="EF28" s="20"/>
      <c r="EG28" s="20"/>
      <c r="EH28" s="20"/>
      <c r="EI28" s="20"/>
      <c r="EJ28" s="20"/>
      <c r="EK28" s="20"/>
      <c r="EL28" s="20"/>
      <c r="EM28" s="20"/>
      <c r="EN28" s="20"/>
      <c r="EO28" s="20"/>
      <c r="EP28" s="20"/>
      <c r="EQ28" s="20"/>
      <c r="ER28" s="20"/>
      <c r="ES28" s="20"/>
      <c r="ET28" s="20"/>
      <c r="EU28" s="20"/>
      <c r="EV28" s="20"/>
      <c r="EW28" s="20"/>
      <c r="EX28" s="20"/>
      <c r="EY28" s="20"/>
      <c r="EZ28" s="20"/>
      <c r="FA28" s="20"/>
      <c r="FB28" s="20"/>
      <c r="FC28" s="20"/>
      <c r="FD28" s="20"/>
      <c r="FE28" s="20"/>
      <c r="FF28" s="20"/>
      <c r="FG28" s="20"/>
      <c r="FH28" s="20"/>
      <c r="FI28" s="20"/>
      <c r="FJ28" s="20"/>
      <c r="FK28" s="20"/>
      <c r="FL28" s="20"/>
      <c r="FM28" s="20"/>
      <c r="FN28" s="20"/>
      <c r="FO28" s="20"/>
      <c r="FP28" s="20"/>
      <c r="FQ28" s="20"/>
      <c r="FR28" s="20"/>
      <c r="FS28" s="20"/>
      <c r="FT28" s="20"/>
      <c r="FU28" s="20"/>
      <c r="FV28" s="20"/>
      <c r="FW28" s="20"/>
      <c r="FX28" s="20"/>
      <c r="FY28" s="20"/>
      <c r="FZ28" s="20"/>
      <c r="GA28" s="20"/>
      <c r="GB28" s="20"/>
      <c r="GC28" s="20"/>
      <c r="GD28" s="20"/>
      <c r="GE28" s="20"/>
      <c r="GF28" s="20"/>
      <c r="GG28" s="20"/>
      <c r="GH28" s="20"/>
      <c r="GI28" s="20"/>
      <c r="GJ28" s="20"/>
      <c r="GK28" s="20"/>
      <c r="GL28" s="20"/>
      <c r="GM28" s="20"/>
      <c r="GN28" s="20"/>
      <c r="GO28" s="20"/>
      <c r="GP28" s="20"/>
      <c r="GQ28" s="20"/>
      <c r="GR28" s="20"/>
      <c r="GS28" s="20"/>
      <c r="GT28" s="20"/>
      <c r="GU28" s="20"/>
    </row>
    <row r="29" spans="1:203" ht="30" customHeight="1" x14ac:dyDescent="0.25">
      <c r="F29" s="5"/>
    </row>
    <row r="30" spans="1:203" ht="30" customHeight="1" x14ac:dyDescent="0.25">
      <c r="E30" s="32"/>
    </row>
  </sheetData>
  <mergeCells count="30">
    <mergeCell ref="D3:E3"/>
    <mergeCell ref="H4:N4"/>
    <mergeCell ref="O4:U4"/>
    <mergeCell ref="V4:AB4"/>
    <mergeCell ref="AC4:AI4"/>
    <mergeCell ref="B5:F5"/>
    <mergeCell ref="AJ4:AP4"/>
    <mergeCell ref="AQ4:AW4"/>
    <mergeCell ref="AX4:BD4"/>
    <mergeCell ref="BE4:BK4"/>
    <mergeCell ref="BL4:BR4"/>
    <mergeCell ref="BS4:BY4"/>
    <mergeCell ref="BZ4:CF4"/>
    <mergeCell ref="CG4:CM4"/>
    <mergeCell ref="CN4:CT4"/>
    <mergeCell ref="CU4:DA4"/>
    <mergeCell ref="DB4:DH4"/>
    <mergeCell ref="DI4:DO4"/>
    <mergeCell ref="DP4:DV4"/>
    <mergeCell ref="DW4:EC4"/>
    <mergeCell ref="ED4:EJ4"/>
    <mergeCell ref="EK4:EQ4"/>
    <mergeCell ref="ER4:EX4"/>
    <mergeCell ref="EY4:FE4"/>
    <mergeCell ref="FF4:FL4"/>
    <mergeCell ref="FM4:FS4"/>
    <mergeCell ref="FT4:FZ4"/>
    <mergeCell ref="GA4:GG4"/>
    <mergeCell ref="GH4:GN4"/>
    <mergeCell ref="GO4:GU4"/>
  </mergeCells>
  <conditionalFormatting sqref="C7:C28">
    <cfRule type="dataBar" priority="4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H5:GU28">
    <cfRule type="expression" dxfId="2" priority="63">
      <formula>AND(TODAY()&gt;=H$5,TODAY()&lt;I$5)</formula>
    </cfRule>
  </conditionalFormatting>
  <conditionalFormatting sqref="H7:GU28">
    <cfRule type="expression" dxfId="1" priority="57">
      <formula>AND(task_start&lt;=H$5,ROUNDDOWN((task_end-task_start+1)*task_progress,0)+task_start-1&gt;=H$5)</formula>
    </cfRule>
    <cfRule type="expression" dxfId="0" priority="58" stopIfTrue="1">
      <formula>AND(task_end&gt;=H$5,task_start&lt;I$5)</formula>
    </cfRule>
  </conditionalFormatting>
  <dataValidations count="1">
    <dataValidation type="whole" operator="greaterThanOrEqual" allowBlank="1" showInputMessage="1" promptTitle="Display Week" prompt="Changing this number will scroll the Gantt Chart view." sqref="D4" xr:uid="{00000000-0002-0000-0000-000000000000}">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C7:C28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16"/>
  <sheetViews>
    <sheetView showGridLines="0" zoomScaleNormal="100" workbookViewId="0"/>
  </sheetViews>
  <sheetFormatPr defaultColWidth="9.140625" defaultRowHeight="12.75" x14ac:dyDescent="0.2"/>
  <cols>
    <col min="1" max="1" width="87.140625" style="22" customWidth="1"/>
    <col min="2" max="16384" width="9.140625" style="1"/>
  </cols>
  <sheetData>
    <row r="1" spans="1:2" ht="46.5" customHeight="1" x14ac:dyDescent="0.2"/>
    <row r="2" spans="1:2" s="24" customFormat="1" ht="15.75" x14ac:dyDescent="0.25">
      <c r="A2" s="23" t="s">
        <v>25</v>
      </c>
      <c r="B2" s="23"/>
    </row>
    <row r="3" spans="1:2" s="28" customFormat="1" ht="27" customHeight="1" x14ac:dyDescent="0.25">
      <c r="A3" s="29" t="s">
        <v>26</v>
      </c>
      <c r="B3" s="29"/>
    </row>
    <row r="4" spans="1:2" s="25" customFormat="1" ht="26.25" x14ac:dyDescent="0.4">
      <c r="A4" s="26" t="s">
        <v>27</v>
      </c>
    </row>
    <row r="5" spans="1:2" ht="74.099999999999994" customHeight="1" x14ac:dyDescent="0.2">
      <c r="A5" s="27" t="s">
        <v>28</v>
      </c>
    </row>
    <row r="6" spans="1:2" ht="26.25" customHeight="1" x14ac:dyDescent="0.2">
      <c r="A6" s="26" t="s">
        <v>29</v>
      </c>
    </row>
    <row r="7" spans="1:2" s="22" customFormat="1" ht="204.95" customHeight="1" x14ac:dyDescent="0.25">
      <c r="A7" s="39" t="s">
        <v>30</v>
      </c>
    </row>
    <row r="8" spans="1:2" s="25" customFormat="1" ht="26.25" x14ac:dyDescent="0.4">
      <c r="A8" s="26" t="s">
        <v>31</v>
      </c>
    </row>
    <row r="9" spans="1:2" ht="60" x14ac:dyDescent="0.2">
      <c r="A9" s="27" t="s">
        <v>32</v>
      </c>
    </row>
    <row r="10" spans="1:2" s="22" customFormat="1" ht="27.95" customHeight="1" x14ac:dyDescent="0.25">
      <c r="A10" s="40" t="s">
        <v>33</v>
      </c>
    </row>
    <row r="11" spans="1:2" s="25" customFormat="1" ht="26.25" x14ac:dyDescent="0.4">
      <c r="A11" s="26" t="s">
        <v>34</v>
      </c>
    </row>
    <row r="12" spans="1:2" ht="30" x14ac:dyDescent="0.2">
      <c r="A12" s="27" t="s">
        <v>35</v>
      </c>
    </row>
    <row r="13" spans="1:2" s="22" customFormat="1" ht="27.95" customHeight="1" x14ac:dyDescent="0.25">
      <c r="A13" s="40" t="s">
        <v>36</v>
      </c>
    </row>
    <row r="14" spans="1:2" s="25" customFormat="1" ht="26.25" x14ac:dyDescent="0.4">
      <c r="A14" s="26" t="s">
        <v>37</v>
      </c>
    </row>
    <row r="15" spans="1:2" ht="75" customHeight="1" x14ac:dyDescent="0.2">
      <c r="A15" s="27" t="s">
        <v>38</v>
      </c>
    </row>
    <row r="16" spans="1:2" ht="75" x14ac:dyDescent="0.2">
      <c r="A16" s="27" t="s">
        <v>39</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rintOptions horizontalCentered="1"/>
  <pageMargins left="0.35" right="0.35" top="0.35" bottom="0.5" header="0.3" footer="0.3"/>
  <pageSetup paperSize="9" fitToHeight="0" orientation="landscape" r:id="rId5"/>
  <headerFooter differentFirst="1" scaleWithDoc="0">
    <oddFooter>Page &amp;P of &amp;N</oddFooter>
  </headerFooter>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2019-10-16T14:17:56Z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v-abdarl@microsoft.com</vt:lpwstr>
  </property>
  <property fmtid="{D5CDD505-2E9C-101B-9397-08002B2CF9AE}" pid="5" name="MSIP_Label_f42aa342-8706-4288-bd11-ebb85995028c_SetDate">
    <vt:lpwstr>2019-03-19T17:17:07.6273720Z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ActionId">
    <vt:lpwstr>ae87efaf-4711-40ea-b5db-c90354dd2317</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ies>
</file>